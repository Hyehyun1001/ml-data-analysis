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이진희" sheetId="1" r:id="rId5"/>
    <sheet state="visible" name="이진희_피드백" sheetId="2" r:id="rId6"/>
    <sheet state="visible" name="권용우" sheetId="3" r:id="rId7"/>
    <sheet state="visible" name="김소현" sheetId="4" r:id="rId8"/>
    <sheet state="visible" name="이혜현" sheetId="5" r:id="rId9"/>
    <sheet state="visible" name="전유경" sheetId="6" r:id="rId10"/>
  </sheets>
  <definedNames/>
  <calcPr/>
</workbook>
</file>

<file path=xl/sharedStrings.xml><?xml version="1.0" encoding="utf-8"?>
<sst xmlns="http://schemas.openxmlformats.org/spreadsheetml/2006/main" count="351" uniqueCount="298">
  <si>
    <t>이진희</t>
  </si>
  <si>
    <t>진행 단계</t>
  </si>
  <si>
    <t>진행 과정</t>
  </si>
  <si>
    <t>진행 결과</t>
  </si>
  <si>
    <t>진행 효과</t>
  </si>
  <si>
    <t>피드백</t>
  </si>
  <si>
    <t>데이터 전처리</t>
  </si>
  <si>
    <t>(소문자화, 특수문자 제거, 토큰화, 불용어 제거)</t>
  </si>
  <si>
    <t>제거완료</t>
  </si>
  <si>
    <t>기본적으로 필요한 단어만 가져올 수 있게끔 진행</t>
  </si>
  <si>
    <t>회의를 하면서, 필요한 단어들을 가져오기 위한 부분 진행</t>
  </si>
  <si>
    <t>벡터라이즈</t>
  </si>
  <si>
    <t>카운트벡터라이즈 진행
km_cluster = KMeans(n_clusters=5, max_iter=10000, random_state=0)</t>
  </si>
  <si>
    <t>cluster_label
4    44
2     2
0     2
3     2
1     1</t>
  </si>
  <si>
    <t>불균형한 군집 체크.</t>
  </si>
  <si>
    <t>단순히 군집문제인건지, 카운트가 안어울리는건지 체크할 필요가 있음.
카운트벡터라이즈와 KMeans 조합의 한계
0,1,2,3은 잘 나왔지만, 극히 적은 데이터만이 군집을 했고,
4에서 대부분에 몰려있는 상황이 발생이 됨. 단순히 단어가 몇번나왔는가의 한계라고 볼 수 있음. 절대빈도의 문제일 수 있으니 조정해보고 다시 진행할 예정.</t>
  </si>
  <si>
    <t>카운트벡터라이즈 진행
km_cluster = KMeans(n_clusters=3, max_iter=10000, random_state=0)</t>
  </si>
  <si>
    <t>cluster_label
0    48
2     2
1     1</t>
  </si>
  <si>
    <t>카운트 벡터라인즈의 한계 인식</t>
  </si>
  <si>
    <t>CountVectorizer는 단어의 절대 빈도를 사용하기 때문에 문서 길이 및 반복적으로 등장하는 단어의 영향을 크게 받을 가능성이 있다. 실제 군집 결과에서도 대부분의 문서가 하나의 군집에 집중되는 현상이 나타났다. 이에 단어별 중요도를 반영할 수 있는 TF-IDF를 적용하여 비교하였다.</t>
  </si>
  <si>
    <t>TfidVectorizer 진행
km_cluster = KMeans(n_clusters=5, max_iter=10000, random_state=0)</t>
  </si>
  <si>
    <t>cluster_label
1    15
2    14
3     9
4     7
0     6</t>
  </si>
  <si>
    <t>군집의 균형은 찾아가고, 나름 구분을 하고 있지만, 오분류가 되어있는 부분과 겹치는 부분이 있다.</t>
  </si>
  <si>
    <t>제대로된 클러스팅같은 느낌이 드러나는 부분, 클러스터0- 책및 킨들
클러스터 1 - 호텔 / 클러스터 2 - IT/GPS/시각화면 /클러스트3 - 자동차 / 클러스터 4- 배터리 -음향 / 
100%분류도 아닐뿐더러, 기능적인 부분들도 섞여있는 느낌이라, 클러스터를 단축시켜보면 어떨지 한번 체크해볼 예정</t>
  </si>
  <si>
    <t>클러스터 단축</t>
  </si>
  <si>
    <t>TfidVectorizer 진행
km_cluster = KMeans(n_clusters=4, max_iter=10000, random_state=0)</t>
  </si>
  <si>
    <t>cluster_label
2    18
1    15
3    10
0     8</t>
  </si>
  <si>
    <t xml:space="preserve">오류들이 몇몇있고, 이상한 게 들어가있는 경우가 있었다. 최대한 너무 이상한 부분들이 몇몇 있다.
</t>
  </si>
  <si>
    <t>크러스터 0의 경우 / Kindle의 가격, 글꼴, 버튼, 내비게이션, 배터리 등 다양한 사용 경험이 하나의 군집으로 형성되었다. 다만 price_holiday_inn_london이 함께 포함되어 있어 완전한 제품군 분리는 이루어지지 않았다. 이는 price라는 공통적인 어휘적 특징의 영향으로 추정할 수 있다. 호텔의 객실, 음식, 위치, 주차, 서비스 등 호텔 이용 경험에 관한 리뷰들이 하나의 군집으로 형성되었다.. 배터리 라이프, 등 전자기기가 클러스트 2에 많이 들어갔고, 클러스트 3의 경우는 차량에 관한 내용으로 잘 분류가 되었다.
이를 통해 TF-IDF 기반 KMeans가 일부 세부 주제보다는 제품·서비스 도메인의 차이를 중심으로 문서를 군집화하는 경향을 확인할 수 있었다.</t>
  </si>
  <si>
    <t>TfidVectorizer 진행
km_cluster = KMeans(n_clusters=3, max_iter=10000, random_state=0)</t>
  </si>
  <si>
    <t>cluster_label
2    21
1    20
0    10
Name: count, dtype: int64</t>
  </si>
  <si>
    <t>오히려 3개로 나눴을 때, 더 큰오류가 발생한듯
하다.</t>
  </si>
  <si>
    <t>K=3으로 군집화한 결과, K=4에 비해 서로 다른 제품군의 리뷰가 동일한 군집에 포함되는 현상이 증가하였다. Cluster 0은 Kindle 관련 리뷰가 주를 이루었으나 Honda Accord의 performance 리뷰가 포함되었다. Cluster 1에서는 호텔 관련 리뷰와 자동차의 comfort, interior 관련 리뷰가 함께 군집화되었으며, Cluster 2에서도 전자기기 관련 리뷰와 자동차의 gas mileage 관련 리뷰가 함께 나타났다. 따라서 K=3에서는 서로 다른 도메인의 문서를 충분히 분리하지 못하는 모습을 확인할 수 있었다.</t>
  </si>
  <si>
    <t>실루엣스코어비교</t>
  </si>
  <si>
    <t>TF-IDF          : 0.054344926144404324
CountVectorizer : 0.5613308882405473(3기준)
CountVectorizer : 0.43666170045277036(4기준)</t>
  </si>
  <si>
    <t>심각하게 낮은 TF-IDF</t>
  </si>
  <si>
    <t>Silhouette Score를 비교한 결과 CountVectorizer가 TF-IDF보다 높은 점수를 기록하였다. 그러나 실제 군집을 확인했을 때 CountVectorizer에서는 대부분의 문서가 하나의 군집에 집중된 반면, TF-IDF에서는 Kindle, 호텔, 전자기기, 자동차 등 비교적 의미 있는 군집이 형성되었다. 이를 통해 Silhouette Score는 벡터 공간에서의 군집 내 응집도와 군집 간 분리도를 평가할 수 있지만, 군집의 의미적 일관성까지 직접 평가하는 데에는 한계가 있음을 확인하였다.</t>
  </si>
  <si>
    <t>GMM 적용 점수</t>
  </si>
  <si>
    <t>SVD 진행 후(svd = TruncatedSVD(
    n_components=20,
    random_state=42
))
gmm = GaussianMixture(
    n_components=4,
    random_state=42
) 진행</t>
  </si>
  <si>
    <t>gmm_cluster 
1 39 
0 5 
3 4 
2 3 
Name: count, dtype: int64
TF-IDF : 0.04202775832087407</t>
  </si>
  <si>
    <t>실루엣스코어도 낮으며, gmm클러스터의 균형도 상당히 무너져 있다.</t>
  </si>
  <si>
    <t>GMM을 적용한 결과 전체 51개 문서 중 39개가 하나의 군집에 집중되었으며, 해당 군집에는 호텔, 자동차, 전자기기 등 서로 다른 주제의 문서가 혼재하였다. 반면 일부 군집에서는 Battery Life, 호텔 객실, 화면 및 크기와 같이 공통적인 세부 주제를 가진 문서가 분리되는 특징을 보였다. 그러나 전체적인 군집 분포와 의미적 일관성이 낮았으며 Silhouette Score 또한 약 0.042로 낮게 나타났다. 따라서 현재 설정에서는 GMM이 전체 문서의 군집 구조를 충분히 분리하지 못한 것으로 판단하였다.</t>
  </si>
  <si>
    <t>TruncatedSVD(n_components=40)로 변경 후 GMM 재실행</t>
  </si>
  <si>
    <t>for n in [10, 20, 30, 40]:
    svd = TruncatedSVD(n_components=n, random_state=42)
    X_svd = svd.fit_transform(X_tfidf)</t>
  </si>
  <si>
    <t>gmm_cluster
2    27
1    16
3     5
0     3
Name: count, dtype: int64
0.047214</t>
  </si>
  <si>
    <t>개선됐으나, 조사가 제대로 진행이 되지 않았다.</t>
  </si>
  <si>
    <t>SVD를 통한 차원축소 후 GMM을 적용한 결과, 이전 GMM에 비해 하나의 군집에 데이터가 집중되는 현상이 완화되었으며 Silhouette Score 역시 0.042에서 0.047로 소폭 증가하였다. 특히 호텔 관련 리뷰, Netbook의 하드웨어 관련 리뷰, 자동차의 실내 및 승차감 관련 리뷰에서는 높은 의미적 일관성을 확인할 수 있었다. 반면 Cluster 2에는 전체 51개 문서 중 27개가 포함되었으며 전자기기, 자동차 등 서로 다른 주제의 리뷰가 혼재하였다. 따라서 SVD 적용을 통해 일부 군집의 분리 품질은 개선되었으나, 전체적인 군집 구조를 명확하게 분리하는 데에는 여전히 한계가 있는 것으로 판단하였다.</t>
  </si>
  <si>
    <t>PCA 변경</t>
  </si>
  <si>
    <t>pca = PCA(
    n_components=20,
    random_state=42
)</t>
  </si>
  <si>
    <t>"1    39
0     5
3     4
2     3
Name: count, dtype: int64"
0.121</t>
  </si>
  <si>
    <t>결과는 실루엣 스코어는 개선됐지만, 실제로 
구분이 되는 부분은 동일하다.
SVD와 PCA는 다소 방식의 차이일 뿐, 
데이터에 활용에 있어서 유사한 모습을 보인다.
하지만 그 결과가 결코 무의미하지는 않다.
SVD와 PCA에서 동일한 군집 결과가 나타났으나, 차원축소 방법에 따라 문서 간 거리 구조가 달라져 Silhouette Score에서는 차이가 발생하였다. 이를 통해 동일한 군집 Label이 형성되더라도 데이터가 표현되는 공간에 따라 거리 기반 평가 결과가 달라질 수 있음을 확인하였다..</t>
  </si>
  <si>
    <t>PCA + GMM의 Silhouette Score는 약 0.1205로 나타났다. 이는 앞서 TF-IDF + KMeans에서 측정한 약 0.0543보다 높은 수치이다. 그러나 Silhouette Score가 개선되었음에도 전체 데이터의 39개가 하나의 군집에 집중되었다는 점에서, 높아진 Silhouette Score만으로 전체적인 군집화 품질이 향상되었다고 판단하기는 어렵다. 특히 일부 소규모 군집의 내부 유사성과 군집 간 분리가 강해지면서 Silhouette Score가 상승했을 가능성을 함께 고려할 필요가 있다.
따라서 PCA + GMM은 Battery Life, 화면·크기, 호텔 객실과 같이 강한 공통 특징을 가진 세부 주제를 분리하는 데에는 효과적인 모습을 보였지만, 전체 문서를 균형 있고 의미적으로 일관된 군집으로 분류하는 데에는 한계를 보였다.
추가로 SVD + GMM과 PCA + GMM에서 동일한 문서들이 동일한 군집으로 배정되었음에도 Silhouette Score가 다르게 나타났다. 이는 두 차원축소 방법이 최종 군집 label은 동일하게 만들었더라도, 축소된 공간에서 각 문서의 좌표와 문서 간 거리 구조는 서로 다르게 형성되었기 때문이다. 따라서 동일한 군집 결과에서도 데이터가 표현되는 공간에 따라 거리 기반 평가 지표가 달라질 수 있음을 확인하였다.</t>
  </si>
  <si>
    <t>DB스캔 진행</t>
  </si>
  <si>
    <t>(
    eps=0.5,
    min_samples=3
)</t>
  </si>
  <si>
    <t>진행 순서</t>
  </si>
  <si>
    <t>dbscan_cluster
-1    34
 0     5
 1     3
 2     3
 3     3
 4     3
Name: count, dtype: int64</t>
  </si>
  <si>
    <t>-1이 많으나, 정확히 데이터를 처리하는데
신경을 썼다.</t>
  </si>
  <si>
    <t>DBSCAN은 밀도가 충분히 높은 17개 문서에 대해서는 매우 의미적으로 일관된 군집을 형성했으나, 전체 데이터의 약 66.7%인 34개 문서를 Noise로 분류하였다.
확실하지 않은 데이터에 대해서는 확실히 배제가 된 부분임을 확인할 수 있다.</t>
  </si>
  <si>
    <t>for eps in [0.2, 0.3, 0.4, 0.5, 0.6, 0.7, 0.8]:
    dbscan = DBSCAN(
        eps=eps,
        min_samples=3
    )
    labels = dbscan.fit_predict(X_pca)
    print(f"eps={eps}")
    print(pd.Series(labels).value_counts())
    print("-" * 40)</t>
  </si>
  <si>
    <t>eps=0.2
-1    48
 0     3
Name: count, dtype: int64
----------------------------------------
eps=0.3
-1    42
 0     3
 1     3
 2     3
Name: count, dtype: int64
----------------------------------------
eps=0.4
-1    38
 0     4
 1     3
 2     3
 3     3
Name: count, dtype: int64
----------------------------------------
eps=0.5
-1    34
 0     5
 1     3
 2     3
 3     3
 4     3
Name: count, dtype: int64
----------------------------------------
eps=0.6
-1    32
 0     7
 1     3
 2     3
 3     3
 4     3
Name: count, dtype: int64
----------------------------------------
eps=0.7
-1    24
 0    11
 3     4
 1     3
 2     3
 4     3
 5     3
Name: count, dtype: int64
----------------------------------------
eps=0.8
-1    16
 0    11
 4     9
 3     6
 1     3
 2     3
 5     3
Name: count, dtype: int64
----------------------------------------</t>
  </si>
  <si>
    <t>-1이 최솟값을 지니면서, 나름대로 구분을 할 수 있다고 판단이 들었던 것은 0.8이었다. 최대한 0.8로 진행해서 DB스캔을 진행해볼 예정이다.</t>
  </si>
  <si>
    <t>0.2~0.8까지 돌려보았으나, -1(노이즈)가 최소인 분류는 0.8이었다.</t>
  </si>
  <si>
    <t>전처리 변경점</t>
  </si>
  <si>
    <t>DB스캔 eps=0.8실행</t>
  </si>
  <si>
    <t>모델 변경점</t>
  </si>
  <si>
    <t>dbscan_cluster
-1    16
 0    11
 4     9
 3     6
 1     3
 2     3
 5     3
Name: count, dtype: int64</t>
  </si>
  <si>
    <t>사용모델</t>
  </si>
  <si>
    <t>DBSCAN을 진행하면서 밀도 기반 군집화의 특징과 활용 이유를 확인할 수 있었다. eps가 낮을 때에는 유사성이 높은 문서들이 명확한 군집을 형성하였지만 많은 데이터가 Noise(-1)로 분류되었다. 반대로 Noise를 줄이기 위해 eps를 증가시키자 더 많은 데이터가 군집에 포함되었으나, 서로 다른 주제의 데이터까지 하나의 군집으로 연결되는 현상이 나타났다. 이를 통해 eps 설정에 따라 데이터 포함 범위와 군집의 의미적 일관성 사이에 Trade-off가 발생한다는 것을 확인하였다.</t>
  </si>
  <si>
    <t>결과</t>
  </si>
  <si>
    <t>Cluster 1은 Battery Life, Cluster 2는 자동차 좌석·승차감, Cluster 5는 Hotel Service로 비교적 명확하게 군집화되었다. 반면 Cluster 0에서는 Garmin을 중심으로 Windows와 Hotel 리뷰가 일부 혼합되었으며, Cluster 3에서는 Kindle과 Hotel, Cluster 4에서는 전자기기와 자동차 리뷰가 함께 군집화되었다. eps를 증가시키면서 Noise(-1)는 감소하였으나 서로 다른 주제가 동일 군집으로 연결되는 사례가 증가하였다. 따라서 현재 데이터에서는 DBSCAN이 유사성이 높은 일부 세부 주제를 발견하는 데에는 효과적이었으나, 전체 데이터를 의미적으로 일관되게 군집화하는 데에는 한계를 보였다.</t>
  </si>
  <si>
    <t>6열</t>
  </si>
  <si>
    <t>진행 과정 구체화</t>
  </si>
  <si>
    <t>f1 스코어</t>
  </si>
  <si>
    <t>중요한 변경점/채택점</t>
  </si>
  <si>
    <t>AUC점수</t>
  </si>
  <si>
    <t>총합 피드백</t>
  </si>
  <si>
    <t>Silhouette</t>
  </si>
  <si>
    <t>등락</t>
  </si>
  <si>
    <t>ARI / NMI</t>
  </si>
  <si>
    <t>비고 및 변경 이유</t>
  </si>
  <si>
    <t>예시)</t>
  </si>
  <si>
    <t>이상치 -&gt; 평균치</t>
  </si>
  <si>
    <t>본 분석에서는 Stemming을 적용하지 않았으며, room/rooms, seat/seats, button/buttons처럼 의미가 유사한 단어가 서로 다른 feature로 분리되는 현상이 확인되었다. 이로 인해 문서 간 유사도가 충분히 반영되지 않았을 가능성이 있으며, 일부 낮은 군집 평가값에 영향을 주었을 수 있다. 따라서 후속 분석에서는 동일 조건에서 Stemming 적용 전후의 군집 결과와 Silhouette Score를 비교하여 실제 효과를 검증할 필요가 있다.
그와 별개로 CountVectorizer, TF-IDF, KMeans, GMM, PCA/SVD, DBSCAN 등 다양한 방법을 적용하면서 각 기법의 특성과 한계를 확인할 수 있었다. 특히 군집 평가에서는 단일 지표만으로 결과를 판단하기보다 군집 분포, 대표 feature, 실제 문서 구성과 같은 정성적 결과를 함께 확인해야 한다는 점을 확인하였다. 또한 KMeans의 군집 수, GMM의 차원축소 방식, DBSCAN의 eps와 같은 파라미터 설정에 따라 결과가 크게 달라질 수 있음을 확인하였으며, 향후에는 전처리와 파라미터 선택의 근거를 보다 체계적으로 설정할 필요가 있다.
산점도의 경우, 다차원으로 진행되다보니까, 우리가 눈에 보이는 것보다 더 가까이 되어있는 경우가 있다. 그럴 경우 PCA를 바꾸거나 다시 진행해야하므로, 일단은 2개 기준으로 산점도를 그렸다.(KMeans의 경우 PCA를 진행하지 않았으므로 3차원으로 그렸다.)</t>
  </si>
  <si>
    <t>전처리</t>
  </si>
  <si>
    <t>파라미터 조정</t>
  </si>
  <si>
    <t>Decision Tree</t>
  </si>
  <si>
    <t>전처리 프롬프트: 축약형 확장, 소문자화, 구두점(마침표 등) 제거, 토큰화(문장을 단어 단위로 쪼개기),  불용어 제거, 순수 숫자 토큰 제거, lemma 추출(명사 기준 추출)</t>
  </si>
  <si>
    <t>선생님 추천- ngram을 더 넣어보는 것도 방법</t>
  </si>
  <si>
    <t>참고해주세요</t>
  </si>
  <si>
    <t>산점도의 경우, 다차원으로 진행되다보니까, 우리가 눈에 보이는 것보다 더 가까이 되어있는 경우가 있다. 그럴 경우 PCA를 바꾸거나 다시 진행해야하므로, 일단은 2개 기준으로 산점도를 그렸다.(KMeans의 경우 PCA를 진행하지 않았으므로 3차원으로 그렸다.)</t>
  </si>
  <si>
    <t>--</t>
  </si>
  <si>
    <t>공통 전처리(소문자화, 특수문자 제거, 토큰화, 불용어 제거)</t>
  </si>
  <si>
    <t xml:space="preserve">위 7단계를 실행하는 벡터화 단계에 재사용할 함수를  만듬(이 후 TFidfVecorizer(tokenizer=...) 에 전달됨. </t>
  </si>
  <si>
    <t>전처리 함수: preprocess_text()</t>
  </si>
  <si>
    <t xml:space="preserve">카운트 벡터라이즈 진행 
5개군집
</t>
  </si>
  <si>
    <t>kmeans</t>
  </si>
  <si>
    <t>cluster_label
4    44
2     2
0     2
3     2
1     1</t>
  </si>
  <si>
    <t>파이프라인을 적용하여서 전체 문서 51개에 전처리를 적용함. 이 과정에서 column들을 새로 만들었는데 
 이건 그 전 셀에서 파일명으로 부터 attribute (속성) 과 product(상품명)을 분리하는 과정을 거쳤기 때문</t>
  </si>
  <si>
    <t>여기서 나온 새로운 DF column들: document_df[["filename", "attribute", "product", "token_count"]]</t>
  </si>
  <si>
    <t>####### Cluster 0
Top features: ['price', 'hotel', 'location', 'kindle', 'room', 'books', 'book', 'breakfast', 'london', 'stay']
Reviews 파일명 : ['price_amazon_kindle', 'price_holiday_inn_london']
==================================================
####### Cluster 1
Top features: ['room', 'clean', 'small', 'rooms', 'hotel', 'bathroom', 'bed', 'size', 'london', 'room clean']
Reviews 파일명 : ['room_holiday_inn_london']
==================================================
####### Cluster 2
Top features: ['location', 'hotel', 'great location', 'tube', 'wharf', 'excellent', 'location great', 'good location', 'perfect', 'walk']
Reviews 파일명 : ['location_bestwestern_hotel_sfo', 'location_holiday_inn_london']
==================================================
####### Cluster 3
Top features: ['staff', 'friendly', 'helpful', 'hotel', 'staff friendly', 'desk', 'room', 'front', 'front desk', 'us']
Reviews 파일명 : ['staff_bestwestern_hotel_sfo', 'staff_swissotel_chicago']
==================================================
####### Cluster 4
Top features: ['battery', 'service', 'screen', 'rooms', 'mileage', 'comfortable', 'room', 'life', 'battery life', 'hotel']
Reviews 파일명 : ['accuracy_garmin_nuvi_255W_gps', 'bathroom_bestwestern_hotel_sfo', 'battery-life_amazon_kindle', 'battery-life_ipod_nano_8gb', 'battery-life_netbook_1005ha', 'buttons_amazon_kindle', 'comfort_honda_accord_2008']
==================================================</t>
  </si>
  <si>
    <t>카운트 벡터라이즈진행 
3개 군집</t>
  </si>
  <si>
    <t>TF-ID 벡터화</t>
  </si>
  <si>
    <t xml:space="preserve"> ngram_range=(1,2), min_df=0.05, max_df=0.85 적용 → (51, 4498) shape의 TF-IDF 행렬 생성. TF-IDF 에 대한 간단한 설명: Term Frequency-Inverse Document Frequency(단어 빈도-역문서 빈도)의 약자임. NLP 과 text minig 에 많이 쓰이고 주요 역할은 특정 단어가 전체 문서 집합에서 얼마나 중요한지를 측정하는 통계적 수치이다. </t>
  </si>
  <si>
    <t>####### Cluster 0
Top features: ['staff', 'service', 'battery', 'rooms', 'screen', 'hotel', 'room', 'comfortable', 'mileage', 'life']
Reviews 파일명 : ['accuracy_garmin_nuvi_255W_gps', 'bathroom_bestwestern_hotel_sfo', 'battery-life_amazon_kindle', 'battery-life_ipod_nano_8gb', 'battery-life_netbook_1005ha', 'buttons_amazon_kindle', 'comfort_honda_accord_2008']
==================================================
####### Cluster 1
Top features: ['room', 'clean', 'small', 'rooms', 'hotel', 'bathroom', 'bed', 'size', 'london', 'room clean']
Reviews 파일명 : ['room_holiday_inn_london']
==================================================
####### Cluster 2
Top features: ['location', 'hotel', 'great location', 'tube', 'wharf', 'excellent', 'location great', 'good location', 'perfect', 'walk']
Reviews 파일명 : ['location_bestwestern_hotel_sfo', 'location_holiday_inn_london']</t>
  </si>
  <si>
    <t>K-means</t>
  </si>
  <si>
    <t xml:space="preserve">tfidf- 벡터라이즈 진행
kmeans 5개 군집
</t>
  </si>
  <si>
    <t xml:space="preserve"> KMeans(n_clusters=3, random_state=42) 학습 → 클러스터 크기: 25 / 10 / 16    *k-means는 차원 축소화(PCA)를 적용할 이유가 없음</t>
  </si>
  <si>
    <t>cluster_label
1    15
2    14
3     9
4     7
0     6</t>
  </si>
  <si>
    <t>cluster label 이 3 그룹으로 나뉘어짐</t>
  </si>
  <si>
    <t>####### Cluster 0
Top features: ['price', 'kindle', 'font', 'page', 'eyes', 'buttons', 'button', 'navigation', 'books', 'book']
Reviews 파일명 : ['buttons_amazon_kindle', 'eyesight-issues_amazon_kindle', 'fonts_amazon_kindle', 'navigation_amazon_kindle', 'price_amazon_kindle', 'price_holiday_inn_london']
==================================================
####### Cluster 1
Top features: ['service', 'rooms', 'hotel', 'staff', 'room', 'food', 'location', 'clean', 'bathroom', 'parking']
Reviews 파일명 : ['bathroom_bestwestern_hotel_sfo', 'food_holiday_inn_london', 'food_swissotel_chicago', 'free_bestwestern_hotel_sfo', 'location_bestwestern_hotel_sfo', 'location_holiday_inn_london', 'parking_bestwestern_hotel_sfo']
==================================================
####### Cluster 2
Top features: ['screen', 'keyboard', 'directions', 'voice', 'speed', 'video', 'speed limit', 'accurate', 'features', 'map']
Reviews 파일명 : ['accuracy_garmin_nuvi_255W_gps', 'directions_garmin_nuvi_255W_gps', 'display_garmin_nuvi_255W_gps', 'features_windows7', 'keyboard_netbook_1005ha', 'satellite_garmin_nuvi_255W_gps', 'screen_garmin_nuvi_255W_gps']
==================================================
####### Cluster 3
Top features: ['interior', 'mileage', 'seats', 'comfortable', 'gas', 'gas mileage', 'transmission', 'quality', 'car', 'ride']
Reviews 파일명 : ['comfort_honda_accord_2008', 'comfort_toyota_camry_2007', 'gas_mileage_toyota_camry_2007', 'interior_honda_accord_2008', 'interior_toyota_camry_2007', 'mileage_honda_accord_2008', 'quality_toyota_camry_2007']
==================================================
####### Cluster 4
Top features: ['battery', 'performance', 'battery life', 'life', 'sound', 'faster', 'sound quality', 'ipod', 'vista', 'great']
Reviews 파일명 : ['battery-life_amazon_kindle', 'battery-life_ipod_nano_8gb', 'battery-life_netbook_1005ha', 'performance_honda_accord_2008', 'performance_netbook_1005ha', 'sound_ipod_nano_8gb', 'speed_windows7']
==================================================</t>
  </si>
  <si>
    <t>클러스트별 파일명 확인 print 찍어서 cluster별 어떤 파일명이 들어갔는지 확인</t>
  </si>
  <si>
    <t>tfidf- 벡터라이즈 진행
kmeans 4개 군집</t>
  </si>
  <si>
    <t>####### Cluster 0
Top features: ['kindle', 'price', 'font', 'page', 'battery', 'eyes', 'faster', 'buttons', 'button', 'navigation']
Reviews 파일명 : ['battery-life_amazon_kindle', 'buttons_amazon_kindle', 'eyesight-issues_amazon_kindle', 'fonts_amazon_kindle', 'navigation_amazon_kindle', 'price_amazon_kindle', 'price_holiday_inn_london']
==================================================
####### Cluster 1
Top features: ['service', 'rooms', 'hotel', 'staff', 'room', 'food', 'location', 'clean', 'bathroom', 'parking']
Reviews 파일명 : ['bathroom_bestwestern_hotel_sfo', 'food_holiday_inn_london', 'food_swissotel_chicago', 'free_bestwestern_hotel_sfo', 'location_bestwestern_hotel_sfo', 'location_holiday_inn_london', 'parking_bestwestern_hotel_sfo']
==================================================
####### Cluster 2
Top features: ['screen', 'battery', 'keyboard', 'battery life', 'directions', 'life', 'video', 'speed', 'voice', 'features']
Reviews 파일명 : ['accuracy_garmin_nuvi_255W_gps', 'battery-life_ipod_nano_8gb', 'battery-life_netbook_1005ha', 'directions_garmin_nuvi_255W_gps', 'display_garmin_nuvi_255W_gps', 'features_windows7', 'keyboard_netbook_1005ha']
==================================================
####### Cluster 3
Top features: ['interior', 'mileage', 'seats', 'comfortable', 'gas', 'gas mileage', 'transmission', 'car', 'performance', 'quality']
Reviews 파일명 : ['comfort_honda_accord_2008', 'comfort_toyota_camry_2007', 'gas_mileage_toyota_camry_2007', 'interior_honda_accord_2008', 'interior_toyota_camry_2007', 'mileage_honda_accord_2008', 'performance_honda_accord_2008']
==================================================</t>
  </si>
  <si>
    <t>K-means Sihlouette score</t>
  </si>
  <si>
    <t>이 코드는 두가지 라벨로 나뉘어지는데 pseudo-label(파일명에서 뽑아낸거 - &gt; 왜냐하면 파일명이 곧 답이기 때문에)</t>
  </si>
  <si>
    <t xml:space="preserve">(k = 3) </t>
  </si>
  <si>
    <t>tfidf- 벡터라이즈 진행
kmeans 3개 군집</t>
  </si>
  <si>
    <t>####### Cluster 0
Top features: ['kindle', 'price', 'font', 'page', 'battery', 'eyes', 'performance', 'quality', 'faster', 'buttons']
Reviews 파일명 : ['battery-life_amazon_kindle', 'buttons_amazon_kindle', 'eyesight-issues_amazon_kindle', 'fonts_amazon_kindle', 'navigation_amazon_kindle', 'performance_honda_accord_2008', 'price_amazon_kindle']
==================================================
####### Cluster 1
Top features: ['service', 'rooms', 'hotel', 'staff', 'room', 'interior', 'food', 'location', 'comfortable', 'seats']
Reviews 파일명 : ['bathroom_bestwestern_hotel_sfo', 'comfort_honda_accord_2008', 'comfort_toyota_camry_2007', 'food_holiday_inn_london', 'food_swissotel_chicago', 'free_bestwestern_hotel_sfo', 'interior_honda_accord_2008']
==================================================
####### Cluster 2
Top features: ['screen', 'battery', 'mileage', 'keyboard', 'battery life', 'directions', 'life', 'video', 'speed', 'voice']
Reviews 파일명 : ['accuracy_garmin_nuvi_255W_gps', 'battery-life_ipod_nano_8gb', 'battery-life_netbook_1005ha', 'directions_garmin_nuvi_255W_gps', 'display_garmin_nuvi_255W_gps', 'features_windows7', 'gas_mileage_toyota_camry_2007']
==================================================</t>
  </si>
  <si>
    <t>카운트 / TF 모델 실루엣 스코어 비교</t>
  </si>
  <si>
    <t xml:space="preserve">PCA 처리? </t>
  </si>
  <si>
    <t>sparse한 TF-IDF 행렬엔 보통 (평균을 빼는) 순수 PCA보다 **TruncatedSVD(=LSA)</t>
  </si>
  <si>
    <t>gmm모델로 svd진행 (1)</t>
  </si>
  <si>
    <t>gmm</t>
  </si>
  <si>
    <t>PCA 처리?  -&gt; 희소행렬을 확인하지</t>
  </si>
  <si>
    <t>현재 TF-IDF 된 행렬의 shape: (51, 4498) 즉, 엄청난 희소 행렬이라는 의미, 51개의 문서, 4498개의 vocabulary.  즉  k-means입장에서는 51개의 데이터 포인트가 있고, 각각의 데이터 포인트가 4498개의 feature를 가지고 있다고 볼 수 있음   (굉장히 고차원임)  -&gt; 그래서 LSA를 사용하여 압축하려고 하는 거임</t>
  </si>
  <si>
    <t>####### Cluster 0 Top features: ['screen' 'keyboard' 'size' 'battery' 'small' 'battery life' 'full' 'laptop' 'screen size' 'full size'] Reviews 파일명 : ['keyboard_netbook_1005ha', 'screen_garmin_nuvi_255W_gps', 'screen_ipod_nano_8gb', 'screen_netbook_1005ha', 'size_asus_netbook_1005ha'] 
================================================== 
####### Cluster 1 Top features: ['service' 'hotel' 'staff' 'interior' 'location' 'food' 'mileage' 'great' 'performance' 'seats'] 
Reviews 파일명 : ['accuracy_garmin_nuvi_255W_gps', 'buttons_amazon_kindle', 'comfort_honda_accord_2008', 'comfort_toyota_camry_2007', 'directions_garmin_nuvi_255W_gps', 'display_garmin_nuvi_255W_gps', 'eyesight-issues_amazon_kindle'] ================================================== 
####### Cluster 2 Top features: ['battery' 'battery life' 'life' 'kindle' 'ipod' 'hours' 'charge' 'long battery' 'long' 'lasts'] 
Reviews 파일명 : ['battery-life_amazon_kindle', 'battery-life_ipod_nano_8gb', 'battery-life_netbook_1005ha'] ================================================== 
####### Cluster 3 Top features: ['rooms' 'room' 'bathroom' 'clean' 'hotel' 'small' 'bed' 'comfortable' 'staff' 'rooms clean'] 
Reviews 파일명 : ['bathroom_bestwestern_hotel_sfo', 'rooms_bestwestern_hotel_sfo', 'rooms_swissotel_chicago', 'room_holiday_inn_london'] ==================================================</t>
  </si>
  <si>
    <t>느낀점</t>
  </si>
  <si>
    <t>"느낀 점 : 기존에는 숫자데이터를 가지고 어떤 특정 목적을 가지고 진행하며 정답에 가깝게 찾아간다는 생각으로 임하다보니, 갈피를 잡는다던가 방향을 잡는데 있어 크게 어려움이 없었으나,
이번 과제를 진행하면서 비정형데이터로 우리가 직접 어떠한 답을 도출해내야 하다보니 첫 스타트를 잡는데 있어 어려움이 있었습니다.
어떻게 목적/목표를 잡아야할지 이런 부분들을 일단 전처리를 하면서 생각을 해봤을 때 나온 지표만을 가지고 의미를 부여하고 만들어간다는 느낌이 강하여 정답인지 확인을 못하는 상황이다보니 그 상황이나 지표에 대한 근거를 찾아서 진행하느라 힘들었습니다.
다만 그 과정에서 내가 어떠한 부분들을 놓치고 있었고, 이해를 못했었는지 확인하는 계기가 되면서 추가적으로 공부를 하면서 개념과 모델에서 조정할 파라미터에 대한 이해도를 조금이나마 높일 수 있었던 것 같습니다.
여기서 더 추가적으로 진행해본다고 했을 때는 외부 모델을 가져와서 한번 돌려보면서 어떤 차이가 있는지, 모델 내에서는 어떤 방식의 차이가 있는지나 차이점들을 살펴보면서 더 지식을 쌓아가는 방향으로 공부를 하게 될 것 같습니다."</t>
  </si>
  <si>
    <t>gmm모델로 svd 진행(2)
반복문을 통한 차원분할 포함</t>
  </si>
  <si>
    <t xml:space="preserve"> LSA </t>
  </si>
  <si>
    <t>gmm_cluster
2    27
1    16
3     5
0     3
Name: count, dtype: int64</t>
  </si>
  <si>
    <t xml:space="preserve">PCA의 목적은 원래 데이터의 정보를 최대한 유지하면서 더 적은 수의 새로운 축으로 표현하자인데 PCA는 각 feature들의 평균을 구하고 빼면서 centering을 진행함. 여기서, TF-IDF 에서  PCA &lt; LSA를 선호하는 이유는 TF-IDF 는 일반적인 연속형 데이터와 구조가 다르기 때문이다. TF-IDF 과 LSA(Latent Semantic Analysis) 가 좋은 조합인 이뉴는 LSA의 핵심 알고리즘인 Truncated SVD(절단된 특이값 분해)가 TF-IDF 행렬의 가장 큰 약점인 희소성을 완벽하게 보존하면서 동시에 차원을 축소하게 있을수있게 하기 때문이다. 왜냐하면 PCA 특이의 평균을 뺴면서 나오는 0값의 변형이 일어나지 않고 수많은 0들을 그대로 보존하기 때문에. 그리고 제목 그대로 "Latent Semantic"에서 미루어 볼 수 있듯이 단어 뒤에 있는 잠재 주제 (concept)를 파악해줌. 그래서 텍스트 데이터에 특화된 차원 축소라고 볼 수 있다. </t>
  </si>
  <si>
    <t>LSA 로 선택함</t>
  </si>
  <si>
    <t>####### Cluster 0
Top features: ['keyboard' 'screen' 'size' 'battery' 'full' 'laptop' 'battery life'
 'full size' 'small' 'life']
Reviews 파일명 : ['keyboard_netbook_1005ha', 'screen_netbook_1005ha', 'size_asus_netbook_1005ha']
==================================================
####### Cluster 1
Top features: ['hotel' 'service' 'rooms' 'staff' 'room' 'location' 'food' 'clean'
 'bathroom' 'great']
Reviews 파일명 : ['bathroom_bestwestern_hotel_sfo', 'food_holiday_inn_london', 'food_swissotel_chicago', 'free_bestwestern_hotel_sfo', 'location_bestwestern_hotel_sfo', 'location_holiday_inn_london', 'parking_bestwestern_hotel_sfo']
==================================================
####### Cluster 2
Top features: ['battery' 'screen' 'mileage' 'performance' 'kindle' 'battery life'
 'directions' 'life' 'video' 'speed']
Reviews 파일명 : ['accuracy_garmin_nuvi_255W_gps', 'battery-life_amazon_kindle', 'battery-life_ipod_nano_8gb', 'battery-life_netbook_1005ha', 'buttons_amazon_kindle', 'directions_garmin_nuvi_255W_gps', 'display_garmin_nuvi_255W_gps']
==================================================
####### Cluster 3
Top features: ['interior' 'seats' 'comfortable' 'comfort' 'ride' 'seat' 'car'
 'uncomfortable' 'exterior' 'seats comfortable']
Reviews 파일명 : ['comfort_honda_accord_2008', 'comfort_toyota_camry_2007', 'interior_honda_accord_2008', 'interior_toyota_camry_2007', 'seats_honda_accord_2008']
==================================================</t>
  </si>
  <si>
    <t>svd대신 pca로 진행</t>
  </si>
  <si>
    <t>모델</t>
  </si>
  <si>
    <t>총 5가지 모델들을 사용하였음</t>
  </si>
  <si>
    <t>KMeans(raw), KMeans(LSA), Agglomerative, HDBSCAN, GMM</t>
  </si>
  <si>
    <t>1    39
0     5
3     4
2     3
Name: count, dtype: int64</t>
  </si>
  <si>
    <t>####### Cluster 0
Top features: ['screen' 'keyboard' 'size' 'battery' 'small' 'battery life' 'full'
 'laptop' 'screen size' 'full size']
Reviews 파일명 : ['keyboard_netbook_1005ha', 'screen_garmin_nuvi_255W_gps', 'screen_ipod_nano_8gb', 'screen_netbook_1005ha', 'size_asus_netbook_1005ha']
==================================================
####### Cluster 1
Top features: ['service' 'hotel' 'staff' 'interior' 'location' 'food' 'mileage' 'great'
 'performance' 'seats']
Reviews 파일명 : ['accuracy_garmin_nuvi_255W_gps', 'buttons_amazon_kindle', 'comfort_honda_accord_2008', 'comfort_toyota_camry_2007', 'directions_garmin_nuvi_255W_gps', 'display_garmin_nuvi_255W_gps', 'eyesight-issues_amazon_kindle']
==================================================
####### Cluster 2
Top features: ['battery' 'battery life' 'life' 'kindle' 'ipod' 'hours' 'charge'
 'long battery' 'long' 'lasts']
Reviews 파일명 : ['battery-life_amazon_kindle', 'battery-life_ipod_nano_8gb', 'battery-life_netbook_1005ha']
==================================================
####### Cluster 3
Top features: ['rooms' 'room' 'bathroom' 'clean' 'hotel' 'small' 'bed' 'comfortable'
 'staff' 'rooms clean']
Reviews 파일명 : ['bathroom_bestwestern_hotel_sfo', 'rooms_bestwestern_hotel_sfo', 'rooms_swissotel_chicago', 'room_holiday_inn_london']
==================================================</t>
  </si>
  <si>
    <t>모델 5가지에 대한 설명들  (각각의 점수는 .ipynb참조)</t>
  </si>
  <si>
    <t>pca 유지</t>
  </si>
  <si>
    <t>DBSCAN 진행(
    eps=0.5,
    min_samples=3
)</t>
  </si>
  <si>
    <t>#: 1
모델: KMeans (raw)
알고리즘 방식: 각 문서를 4498차원 공간의 점으로 보고, 3개의 중심점(centroid)을 반복적으로
옮겨가며 가장 가까운 중심에 문서를 배정
사용 벡터: 원본 희소 TF-IDF (4498차원)
k 결정 방식: 사람이 n_clusters=3 지정
────────────────────────────────────────
#: 2
모델: KMeans (LSA)
알고리즘 방식: 1번과 알고리즘은 완전히 동일
사용 벡터: LSA 축소 + L2정규화 (30차원, dense)
k 결정 방식: 사람이 n_clusters=3 지정
────────────────────────────────────────
#: 3
모델: Agglomerative
알고리즘 방식: 처음엔 문서 51개를 각각 별개 클러스터로 두고, 가장 가까운 클러스터 쌍을 계속 합쳐
나가는 상향식(bottom-up) 병합 방식. 여기선 linkage="average"(두 클러스터 안 모든 점 쌍의 평균
거리) + metric="cosine"(코사인 거리) 사용
사용 벡터: LSA 축소본 (30차원)
k 결정 방식: 사람이 n_clusters=3 지정
────────────────────────────────────────
#: 4
모델: HDBSCAN
알고리즘 방식: "밀도가 촘촘한 지역"을 클러스터로 인식하는 방식. 점들이 빽빽하게 몰린 곳은
클러스터, 어디에도 안 몰린 외딴 점은 -1(noise)로 처리. min_cluster_size만 정해주면 됨
사용 벡터: LSA 축소본 (30차원)
k 결정 방식: k를 지정 안 함 — 알고리즘이 스스로 개수를 찾음 (min_cluster_size 탐색으로 5 채택)
────────────────────────────────────────
#: 5
모델: GMM (Gaussian Mixture)
알고리즘 방식: 데이터가 3개의 서로 다른 가우시안(정규분포) 분포가 섞여서 생성됐다고 가정하고, EM
알고리즘으로 각 분포의 평균/분산을 추정. 각 문서가 "그 클러스터에 속할 확률"을 계산하는
확률적(soft) 클러스터링
사용 벡터: LSA 축소본 (30차원, dense 필수)
k 결정 방식: 사람이 n_components=3 지정</t>
  </si>
  <si>
    <t>DBSCAN</t>
  </si>
  <si>
    <t>####### Cluster 0
Top features: ['directions' 'voice' 'accurate' 'satellite' 'update' 'map' 'gps' 'garmin'
 'turn' 'unit']
Reviews 파일명 : ['accuracy_garmin_nuvi_255W_gps', 'directions_garmin_nuvi_255W_gps', 'satellite_garmin_nuvi_255W_gps', 'updates_garmin_nuvi_255W_gps', 'voice_garmin_nuvi_255W_gps']
==================================================
####### Cluster 1
Top features: ['battery' 'battery life' 'life' 'kindle' 'ipod' 'hours' 'charge'
 'long battery' 'long' 'lasts']
Reviews 파일명 : ['battery-life_amazon_kindle', 'battery-life_ipod_nano_8gb', 'battery-life_netbook_1005ha']
==================================================
####### Cluster 2
Top features: ['seats' 'comfortable' 'comfort' 'ride' 'seat' 'uncomfortable'
 'seats comfortable' 'car' 'interior' 'accord']
Reviews 파일명 : ['comfort_honda_accord_2008', 'comfort_toyota_camry_2007', 'seats_honda_accord_2008']
==================================================
####### Cluster 3
Top features: ['screen' 'video' 'size' 'camera' 'bigger screen' 'battery' 'wide screen'
 'ipod' 'screen size' 'bigger']
Reviews 파일명 : ['screen_garmin_nuvi_255W_gps', 'screen_ipod_nano_8gb', 'screen_netbook_1005ha']
==================================================
####### Cluster 4
Top features: ['service' 'hotel' 'room service' 'room' 'staff' 'food' 'location' 'rooms'
 'concierge' 'customer']
Reviews 파일명 : ['service_bestwestern_hotel_sfo', 'service_holiday_inn_london', 'service_swissotel_hotel_chicago']
==================================================</t>
  </si>
  <si>
    <t>5가지 모델들에 대한 해석</t>
  </si>
  <si>
    <t>일단 ARI/NMI 기준은: KMeans(raw TF-IDF)만 sparse 한 4498차원을 사용하였고 5가지 모델중 유일하게 ARI/NMI  점수가  1.00으로 완벽한 군집화 성능을 보여주었다. 하지만, 나머지 넷은 전부 그보다 낮은 점수가 나왔다</t>
  </si>
  <si>
    <t>EPS설정 체크</t>
  </si>
  <si>
    <t>Eps= 0.8이 가장 -1이 적었다.</t>
  </si>
  <si>
    <t>High-dimensional Sparse Term-document matrix라는 데이터 형태 즉 representation을 확인하는게 중요한 역할로 작용하였다. 그래서 이런 텍스트를 어떤 방식으로 벡터화 처리를 하면 좋을 까 생각해보는걸 통해서 TF-IDF, PSA, LSA, Embedding 등등을 고려해보게 되었다. 또한, NLP 에서 중요한걸 단순하게 text를 vectorization시키는것보다 classification, clustering, sematic search,recommendation, vecotr search로 나아가 활용이 가능하다고 느꼈다. 이제 여기서 마지막은 search, RAG chatbot, Recommendation, Customer analytics, fraud detection, support automation등등 이 될 수 있을 거같다. 마지막 지표는 이 데이터 특성상 파일명 자체가 정답이 될 수 있음을 깨닫고 silhouette: 정답없이 'cluster-label' 군집결과 와 거리정보 활용 / ARI/NMI: 파일명 기본 pseudo-label('category') 와 비교</t>
  </si>
  <si>
    <t>0.8 eps로 진행</t>
  </si>
  <si>
    <t>dbscan_cluster
-1    16
 0    11
 4     9
 3     6
 1     3
 2     3
 5     3
Name: count, dtype: int64</t>
  </si>
  <si>
    <t>####### Cluster 0
Top features: ['directions' 'voice' 'speed' 'accurate' 'parking' 'features'
 'speed limit' 'map' 'free' 'satellite']
Reviews 파일명 : ['accuracy_garmin_nuvi_255W_gps', 'directions_garmin_nuvi_255W_gps', 'display_garmin_nuvi_255W_gps', 'features_windows7', 'free_bestwestern_hotel_sfo', 'parking_bestwestern_hotel_sfo', 'satellite_garmin_nuvi_255W_gps', 'speed_garmin_nuvi_255W_gps', 'speed_windows7', 'updates_garmin_nuvi_255W_gps', 'voice_garmin_nuvi_255W_gps']
==================================================
####### Cluster 1
Top features: ['battery' 'battery life' 'life' 'kindle' 'ipod' 'hours' 'charge'
 'long battery' 'long' 'lasts']
Reviews 파일명 : ['battery-life_amazon_kindle', 'battery-life_ipod_nano_8gb', 'battery-life_netbook_1005ha']
==================================================
####### Cluster 2
Top features: ['seats' 'comfortable' 'comfort' 'ride' 'seat' 'uncomfortable'
 'seats comfortable' 'car' 'interior' 'accord']
Reviews 파일명 : ['comfort_honda_accord_2008', 'comfort_toyota_camry_2007', 'seats_honda_accord_2008']
==================================================
####### Cluster 3
Top features: ['location' 'price' 'kindle' 'hotel' 'page' 'buttons' 'navigation'
 'button' 'great location' 'navigate']
Reviews 파일명 : ['buttons_amazon_kindle', 'location_bestwestern_hotel_sfo', 'location_holiday_inn_london', 'navigation_amazon_kindle', 'price_amazon_kindle', 'price_holiday_inn_london']
==================================================
####### Cluster 4
Top features: ['screen' 'keyboard' 'video' 'quality' 'transmission' 'size' 'sound'
 'camera' 'sound quality' 'video camera']
Reviews 파일명 : ['keyboard_netbook_1005ha', 'quality_toyota_camry_2007', 'screen_garmin_nuvi_255W_gps', 'screen_ipod_nano_8gb', 'screen_netbook_1005ha', 'size_asus_netbook_1005ha', 'sound_ipod_nano_8gb', 'transmission_toyota_camry_2007', 'video_ipod_nano_8gb']
==================================================
####### Cluster 5
Top features: ['service' 'hotel' 'room service' 'room' 'staff' 'food' 'location' 'rooms'
 'concierge' 'customer']
Reviews 파일명 : ['service_bestwestern_hotel_sfo', 'service_holiday_inn_london', 'service_swissotel_hotel_chicago']
==================================================</t>
  </si>
  <si>
    <t>14</t>
  </si>
  <si>
    <t>15</t>
  </si>
  <si>
    <t>16</t>
  </si>
  <si>
    <t>17</t>
  </si>
  <si>
    <t>18</t>
  </si>
  <si>
    <t>19</t>
  </si>
  <si>
    <t>20</t>
  </si>
  <si>
    <t>21</t>
  </si>
  <si>
    <t>22</t>
  </si>
  <si>
    <t>23</t>
  </si>
  <si>
    <t>24</t>
  </si>
  <si>
    <t>진행 절차</t>
  </si>
  <si>
    <t>결고 및 확인 지표</t>
  </si>
  <si>
    <t>F1-Score</t>
  </si>
  <si>
    <t>25</t>
  </si>
  <si>
    <t>26</t>
  </si>
  <si>
    <t>27</t>
  </si>
  <si>
    <t>28</t>
  </si>
  <si>
    <t>[02-1] 텍스트 정제 파이프라인 구축</t>
  </si>
  <si>
    <t>• 소문자화(lower) 및 특수문자 제거
• nltk.word_tokenize 토큰화
• WordNetLemmatizer 표제어 추출
• 1글자 노이즈/숫자 제외 &amp; 표준 불용어(318개) 제거</t>
  </si>
  <si>
    <t>29</t>
  </si>
  <si>
    <t>30</t>
  </si>
  <si>
    <t>31</t>
  </si>
  <si>
    <t>[02-2] TF-IDF 수치 벡터화</t>
  </si>
  <si>
    <t>• tokenizer=LemNormalize 연결
• ngram_range=(1, 2) (복합명사 보존)
• min_df=0.05, max_df=0.85 적용
• sublinear_tf=True (로그 스케일링으로 긴 문서 빈도 왜곡 방지)</t>
  </si>
  <si>
    <t>32</t>
  </si>
  <si>
    <t>[03-1] 최적 군집 수 탐색</t>
  </si>
  <si>
    <t>33</t>
  </si>
  <si>
    <t>• KMeans k=2~6 반복 학습
• Inertia(엘보우) 및 silhouette_score 산출</t>
  </si>
  <si>
    <t>k=3 지점에서 엘보우 굴곡 확인 및 실루엣 점수(0.0965) 
비교를 통해 최적 군집 수 k=3 확정</t>
  </si>
  <si>
    <t>34</t>
  </si>
  <si>
    <t>[03-2] PCA 차원 축소 및 3대 모델링</t>
  </si>
  <si>
    <t>• PCA(n_components=2) 적용하여 
4,139차원 -&gt; 2차원으로 압축</t>
  </si>
  <si>
    <t>35</t>
  </si>
  <si>
    <t>• K-Means (k=3, 유클리드/중심 기반)
• Agglomerative (k=3, 코사인 유사도, Average Linkage)
• GMM (n=3, PCA 2D 공간 기반 확률 모델)</t>
  </si>
  <si>
    <t>3개 모델 모두 51개 문서 군집 라벨링 완료</t>
  </si>
  <si>
    <t>36</t>
  </si>
  <si>
    <t>[03-3] &amp; [03-4] 공정 기준 정량 평가 및 2D 시각화
[03-4]에서 위에 했던 실루엣 점수를 재비교</t>
  </si>
  <si>
    <t>• 원본 4,139차원 vs PCA 2차원 공간 각각에서 실루엣 점수 공정 산출
• Seaborn 산점도 3분할 비교 플롯 출력</t>
  </si>
  <si>
    <t>37</t>
  </si>
  <si>
    <t>• 원본 고차원 실루엣 점수: 세 모델 모두 0.0965
• PCA 2D 공간 실루엣 점수: 세 모델 모두 0.8580
-&gt; 세 알고리즘이 동일하게 분류함을 확인</t>
  </si>
  <si>
    <t>38</t>
  </si>
  <si>
    <t>[04] 군집 해석 및 핵심 단어 추출</t>
  </si>
  <si>
    <t>• K-Means cluster_centers_ 기준 TF-IDF 상위 10개 키워드 추출</t>
  </si>
  <si>
    <t>39</t>
  </si>
  <si>
    <t>• 군집 0 (25개): screen, battery, kindle
• 군집 1 (10개): gas, interior, mileage
• 군집 2 (16개): hotel, room, staff</t>
  </si>
  <si>
    <t>40</t>
  </si>
  <si>
    <t>[05] 도메인 명명 및 최종 교차 검증</t>
  </si>
  <si>
    <t>• 도메인 라벨 매핑 (0: 전자기기, 1: 자동차, 2: 호텔)</t>
  </si>
  <si>
    <t>• PCA 2D 최종 산점도 시각화
• EDA 가설(category_hypo) vs 비지도 군집 결과 crosstab 생성</t>
  </si>
  <si>
    <t>자동차 도메인만 가설 11개 중 10개는 일치하고 1개 문서가 전자기기 도메인으로 분류됨</t>
  </si>
  <si>
    <t>41</t>
  </si>
  <si>
    <t>42</t>
  </si>
  <si>
    <t>43</t>
  </si>
  <si>
    <t>44</t>
  </si>
  <si>
    <t>45</t>
  </si>
  <si>
    <t>46</t>
  </si>
  <si>
    <t>47</t>
  </si>
  <si>
    <t>48</t>
  </si>
  <si>
    <t>49</t>
  </si>
  <si>
    <t>50</t>
  </si>
  <si>
    <t>51</t>
  </si>
  <si>
    <t>52</t>
  </si>
  <si>
    <t>53</t>
  </si>
  <si>
    <t>54</t>
  </si>
  <si>
    <t>55</t>
  </si>
  <si>
    <t>56</t>
  </si>
  <si>
    <t>57</t>
  </si>
  <si>
    <t>58</t>
  </si>
  <si>
    <t>59</t>
  </si>
  <si>
    <t>60</t>
  </si>
  <si>
    <t>61</t>
  </si>
  <si>
    <t>62</t>
  </si>
  <si>
    <t>정형 데이터와 달리 비정형 텍스트 데이터를 다루며 표제어 추출, N-gram, 불용어 제거 등 전처리의 중요성을 깊이 체감했습니다. K-Means, 계층 기반, GMM 세 모델이 정답 라벨 없이도 51개 문서를 호텔·자동차·전자기기로 98% 이상 완벽히 분류해내는 과정을 보며 비지도 학습의 강력함을 확인했습니다. 특히 고차원 희소 행렬에서의 실루엣 점수 한계와 PCA 2D 투영을 통한 군집 시각화 및 정량 평가의 필요성을 명확히 이해할 수 있는 유익한 프로젝트였습니다.</t>
  </si>
  <si>
    <t>63</t>
  </si>
  <si>
    <t>64</t>
  </si>
  <si>
    <t>65</t>
  </si>
  <si>
    <t>66</t>
  </si>
  <si>
    <t>67</t>
  </si>
  <si>
    <t>68</t>
  </si>
  <si>
    <t>69</t>
  </si>
  <si>
    <t>70</t>
  </si>
  <si>
    <t>71</t>
  </si>
  <si>
    <t>72</t>
  </si>
  <si>
    <t>73</t>
  </si>
  <si>
    <t>74</t>
  </si>
  <si>
    <t>점수</t>
  </si>
  <si>
    <t>비고</t>
  </si>
  <si>
    <t>75</t>
  </si>
  <si>
    <t>76</t>
  </si>
  <si>
    <t>77</t>
  </si>
  <si>
    <t>&lt;공통 전처리&gt;
1. 소문자로 변환
2. 영문자와 공백을 제외한 문자 제거
3. 여러 개의 공백을 하나로 변경
4. 한 글자 노이즈 제거  : len(word) &gt; 1
5. 구두점 제거
6. 토큰화
7. 각 단어들로 구분하는 토크나이즈 사용
8. 불용어 정리</t>
  </si>
  <si>
    <t>78</t>
  </si>
  <si>
    <t>소문자화 + 구두점 제거 + 토큰화 + 표제어 추출을 한 번에 수행하는 함수 생성
 = LemNormalize</t>
  </si>
  <si>
    <t>79</t>
  </si>
  <si>
    <t>80</t>
  </si>
  <si>
    <t>LemNormalize 를 TF - IDF 벡터로 변환</t>
  </si>
  <si>
    <t>81</t>
  </si>
  <si>
    <t>82</t>
  </si>
  <si>
    <t>처음 테스트로 n_clusters = 5를 두고 KMeans로 5개 그룹으로 분류</t>
  </si>
  <si>
    <t>83</t>
  </si>
  <si>
    <t>84</t>
  </si>
  <si>
    <t>군집의 의미를 해석하기 위해서 클러스터별 핵심 키워드와 소속 파일을 확인한다.</t>
  </si>
  <si>
    <t>85</t>
  </si>
  <si>
    <t>나온 클러스터들을 PCA로 2차원으로 축소시킨 후, 실제로 잘 나뉘었는지 시각화(산점도)한다.
PCA는 밀집 행렬(dense)만 입력받으므로 희소 행렬인 feature_vect를 dense로 변환시킨다.</t>
  </si>
  <si>
    <t>86</t>
  </si>
  <si>
    <t>87</t>
  </si>
  <si>
    <t>처음에 n_clusters를 5로만 뒀는데 2~5까지 다양하게 두면서 결과가 어떻게 바뀌는지 테스트한다.</t>
  </si>
  <si>
    <t>88</t>
  </si>
  <si>
    <t>clusters 수치를 변경했으니 산점도도 얼마나 변화되는지 확인한다.</t>
  </si>
  <si>
    <t>89</t>
  </si>
  <si>
    <t>90</t>
  </si>
  <si>
    <t>DBSCAN / GMM 모델 비교</t>
  </si>
  <si>
    <t>KMeans와 동일한 TF-IDF 벡터에 DBSCAN, GMM을 추가 적용해 비교노트북(JYG_model_compare.ipynb)을 별도로 생성</t>
  </si>
  <si>
    <t>91</t>
  </si>
  <si>
    <t>GMM(n_components=5): KMeans와 클러스터 배정이 완전히 동일(ARI=1.0)</t>
  </si>
  <si>
    <t>92</t>
  </si>
  <si>
    <t>이 데이터에서는 GMM이 KMeans 대비 추가 정보를 주지 못 했음</t>
  </si>
  <si>
    <t>93</t>
  </si>
  <si>
    <t>DBSCAN(eps=1.2, min_samples=3): 4개 클러스터 + 노이즈 14개(전체의 27%)</t>
  </si>
  <si>
    <t>KMeans와 달리 "어느 그룹에도 속하지 않는 문서"를 별도로 구분</t>
  </si>
  <si>
    <t>94</t>
  </si>
  <si>
    <t>KMeans의 실루엣 음수(오분류 의심) 문서와 DBSCAN 노이즈 문서를 교차 검증</t>
  </si>
  <si>
    <t>95</t>
  </si>
  <si>
    <t>교집합 없음, 두 지표가 서로 다른 문서를 지목함을 확인함</t>
  </si>
  <si>
    <t>DBSCAN의 eps를 k-distance elbow plot으로 재검증</t>
  </si>
  <si>
    <t>96</t>
  </si>
  <si>
    <t>elbow 지점 eps≈1.07~1.18(min_samples별), 기존 실험값(1.2)과 크게 다르지 않음을 확인</t>
  </si>
  <si>
    <t>97</t>
  </si>
  <si>
    <t>eps 민감도 분석(1.001.30 구간)</t>
  </si>
  <si>
    <t>**클러스터 개수(45개)는 비교적 안정적**이나 노이즈 문서 수(35→14개)는 파라미터에 매우 민감</t>
  </si>
  <si>
    <t>98</t>
  </si>
  <si>
    <t>결론: DBSCAN도 KMeans/GMM과 비슷하게 "주제가 대략 4~5개"라는 결론은 뒷받침하지만, 노이즈로 분류된 특정 문서 목록은 파라미터 의존도가 높아 확정적 근거로 사용하기 어려움 → 최종 그룹 분류는 KMeans(n_clusters=5) 결과를 기준으로 채택, DBSCAN/GMM 비교는 검증·보조 자료로 활용</t>
  </si>
  <si>
    <t>99</t>
  </si>
  <si>
    <t>100</t>
  </si>
  <si>
    <t>DBSCAN/GMM, eps에 대한 결과 해석 정리는 ipynb에 자세히 서술되어 있음</t>
  </si>
  <si>
    <t>101</t>
  </si>
  <si>
    <t>102</t>
  </si>
  <si>
    <t>종합 느낀점</t>
  </si>
  <si>
    <t>103</t>
  </si>
  <si>
    <t>Santander, Creditcard Data와는 성향이 다른 Data였어서 처음엔 어떻게 접근해야 될지 어려웠습니다. 앞선 두 데이터들은 Kaggle에서 참조할 데이터가 있었지만 이번 Opinion은 그럴 수 없어 이전에 수업했던 자료를 먼저 참조했습니다. 이후 다행히 팀장님이 Opinion에 관한 논문 자료를 가져와 데이터를 분석하는데 도움이 되었습니다. 텍스트 데이터라 전처리에 관해 팀원들끼리 결정하는 시간이 금방 끝났고 이후 모델링 과정도 비슷했습니다. Kmean로 먼저 접근을 하는 걸 통일시키고 그 이후 방향성은 서로 원하는 것을 시도해보기로 했습니다. 저는 먼저 Cluster 수치를 변경하면서 산점도가 어떻게 달라지는지 시각적으로 확인하고, Kmean에 끝나는 것이 아니라 DBSCAN / GMM 같은 모델을 적용시켜 모델마다 어떤 작용력을 나타내는지 확인하는 과정을 거쳤습니다.
이 과정에서 GMM은 KMeans와 클러스터 결과가 거의 동일하게 나온 반면, DBSCAN은 eps 값에 따라 클러스터 개수와 노이즈로 분류되는 문서가 크게 달라지는 것을 확인했습니다. 처음에는 산점도에서 군집이 겹쳐 보이는 부분만 보고 결과가 안 좋다고 판단했는데, 실루엣 점수와 파라미터 민감도까지 함께 확인해보니 시각화 하나만으로 성능을 단정하면 안 된다는 것을 깨달았습니다. 최종적으로는 해석이 가장 명확했던 KMeans(n_clusters=5) 결과를 채택했고, DBSCAN과 GMM은 그 결과를 교차 검증하는 용도로 활용했습니다. 정답이 정해져 있지 않은 비지도학습이었던 만큼, 하나의 지표나 그래프에 의존하기보다 여러 방법으로 반복 검증하는 과정이 중요하다는 것을 배울 수 있었습니다.</t>
  </si>
  <si>
    <t>104</t>
  </si>
  <si>
    <t>105</t>
  </si>
  <si>
    <t>106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</si>
</sst>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4">
    <font>
      <sz val="10.0"/>
      <color rgb="FF000000"/>
      <name val="Arial"/>
      <scheme val="minor"/>
    </font>
    <font>
      <b/>
      <sz val="20.0"/>
      <color theme="1"/>
      <name val="Arial"/>
      <scheme val="minor"/>
    </font>
    <font>
      <color theme="1"/>
      <name val="Arial"/>
      <scheme val="minor"/>
    </font>
    <font/>
    <font>
      <sz val="10.0"/>
      <color theme="1"/>
      <name val="Roboto"/>
    </font>
    <font>
      <color rgb="FF000000"/>
      <name val="Arial"/>
    </font>
    <font>
      <sz val="11.0"/>
      <color rgb="FF000000"/>
      <name val="Consolas"/>
    </font>
    <font>
      <b/>
      <sz val="26.0"/>
      <color theme="1"/>
      <name val="Arial"/>
      <scheme val="minor"/>
    </font>
    <font>
      <sz val="10.0"/>
      <color rgb="FF000000"/>
      <name val="Roboto"/>
    </font>
    <font>
      <sz val="9.0"/>
      <color rgb="FF000000"/>
      <name val="Google Sans Mono"/>
    </font>
    <font>
      <color rgb="FF000000"/>
      <name val="Arial"/>
      <scheme val="minor"/>
    </font>
    <font>
      <sz val="10.0"/>
      <color rgb="FF000000"/>
      <name val="&quot;IBM Plex Sans KR&quot;"/>
    </font>
    <font>
      <b/>
      <sz val="14.0"/>
      <color theme="1"/>
      <name val="Arial"/>
      <scheme val="minor"/>
    </font>
    <font>
      <b/>
      <color rgb="FF660000"/>
      <name val="Arial"/>
      <scheme val="minor"/>
    </font>
  </fonts>
  <fills count="7">
    <fill>
      <patternFill patternType="none"/>
    </fill>
    <fill>
      <patternFill patternType="lightGray"/>
    </fill>
    <fill>
      <patternFill patternType="solid">
        <fgColor rgb="FFFFFF00"/>
        <bgColor rgb="FFFFFF00"/>
      </patternFill>
    </fill>
    <fill>
      <patternFill patternType="solid">
        <fgColor rgb="FFD0E0E3"/>
        <bgColor rgb="FFD0E0E3"/>
      </patternFill>
    </fill>
    <fill>
      <patternFill patternType="solid">
        <fgColor rgb="FFF6F8F9"/>
        <bgColor rgb="FFF6F8F9"/>
      </patternFill>
    </fill>
    <fill>
      <patternFill patternType="solid">
        <fgColor rgb="FFFFFFFF"/>
        <bgColor rgb="FFFFFFFF"/>
      </patternFill>
    </fill>
    <fill>
      <patternFill patternType="solid">
        <fgColor rgb="FFD9EAD3"/>
        <bgColor rgb="FFD9EAD3"/>
      </patternFill>
    </fill>
  </fills>
  <borders count="14">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border>
    <border>
      <right style="thin">
        <color rgb="FF000000"/>
      </right>
      <bottom style="thin">
        <color rgb="FF000000"/>
      </bottom>
    </border>
    <border>
      <right style="thin">
        <color rgb="FF356854"/>
      </right>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wrapText="1"/>
    </xf>
    <xf borderId="1" fillId="3" fontId="2" numFmtId="0" xfId="0" applyAlignment="1" applyBorder="1" applyFill="1" applyFont="1">
      <alignment horizontal="center" readingOrder="0" shrinkToFit="0" vertical="center" wrapText="1"/>
    </xf>
    <xf borderId="2" fillId="0" fontId="2" numFmtId="0" xfId="0" applyBorder="1" applyFont="1"/>
    <xf borderId="1" fillId="0" fontId="2"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3" fillId="0" fontId="2" numFmtId="0" xfId="0" applyAlignment="1" applyBorder="1" applyFont="1">
      <alignment readingOrder="0" shrinkToFit="0" vertical="center" wrapText="1"/>
    </xf>
    <xf borderId="0" fillId="0" fontId="2" numFmtId="0" xfId="0" applyAlignment="1" applyFont="1">
      <alignment readingOrder="0" shrinkToFit="0" wrapText="1"/>
    </xf>
    <xf borderId="4" fillId="0" fontId="2" numFmtId="0" xfId="0" applyBorder="1" applyFont="1"/>
    <xf borderId="5" fillId="0" fontId="2" numFmtId="0" xfId="0" applyBorder="1" applyFont="1"/>
    <xf borderId="6" fillId="2" fontId="2" numFmtId="0" xfId="0" applyAlignment="1" applyBorder="1" applyFill="1" applyFont="1">
      <alignment horizontal="center" readingOrder="0" shrinkToFit="0" vertical="center" wrapText="1"/>
    </xf>
    <xf borderId="7" fillId="0" fontId="3" numFmtId="0" xfId="0" applyBorder="1" applyFont="1"/>
    <xf borderId="0" fillId="0" fontId="2" numFmtId="0" xfId="0" applyAlignment="1" applyFont="1">
      <alignment horizontal="center" readingOrder="0" shrinkToFit="0" vertical="center" wrapText="1"/>
    </xf>
    <xf borderId="8" fillId="0" fontId="3" numFmtId="0" xfId="0" applyBorder="1" applyFont="1"/>
    <xf borderId="0" fillId="0" fontId="2" numFmtId="0" xfId="0" applyAlignment="1" applyFont="1">
      <alignment readingOrder="0" shrinkToFit="0" vertical="center" wrapText="1"/>
    </xf>
    <xf borderId="6" fillId="0" fontId="2" numFmtId="0" xfId="0" applyAlignment="1" applyBorder="1" applyFont="1">
      <alignment readingOrder="0" shrinkToFit="0" vertical="center" wrapText="1"/>
    </xf>
    <xf borderId="9" fillId="0" fontId="2" numFmtId="0" xfId="0" applyAlignment="1" applyBorder="1" applyFont="1">
      <alignment horizontal="center" readingOrder="0" shrinkToFit="0" vertical="center" wrapText="1"/>
    </xf>
    <xf borderId="2" fillId="0" fontId="3" numFmtId="0" xfId="0" applyBorder="1" applyFont="1"/>
    <xf borderId="0" fillId="0" fontId="2" numFmtId="0" xfId="0" applyAlignment="1" applyFont="1">
      <alignment horizontal="center" readingOrder="0" shrinkToFit="0" vertical="center" wrapText="1"/>
    </xf>
    <xf borderId="9" fillId="0" fontId="3" numFmtId="0" xfId="0" applyBorder="1" applyFont="1"/>
    <xf borderId="10" fillId="0" fontId="2" numFmtId="0" xfId="0" applyAlignment="1" applyBorder="1" applyFont="1">
      <alignment horizontal="center" readingOrder="0" shrinkToFit="0" vertical="center" wrapText="1"/>
    </xf>
    <xf borderId="4" fillId="0" fontId="3" numFmtId="0" xfId="0" applyBorder="1" applyFont="1"/>
    <xf borderId="0" fillId="0" fontId="2" numFmtId="0" xfId="0" applyAlignment="1" applyFont="1">
      <alignment shrinkToFit="0" vertical="center" wrapText="1"/>
    </xf>
    <xf borderId="5" fillId="0" fontId="3" numFmtId="0" xfId="0" applyBorder="1" applyFont="1"/>
    <xf borderId="11" fillId="0" fontId="3" numFmtId="0" xfId="0" applyBorder="1" applyFont="1"/>
    <xf borderId="10" fillId="0" fontId="2" numFmtId="0" xfId="0" applyAlignment="1" applyBorder="1" applyFont="1">
      <alignment horizontal="center" shrinkToFit="0" vertical="center" wrapText="1"/>
    </xf>
    <xf borderId="10"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10" fillId="0" fontId="2"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4" fontId="5" numFmtId="0" xfId="0" applyAlignment="1" applyFill="1" applyFont="1">
      <alignment readingOrder="0" shrinkToFit="0" vertical="center" wrapText="1"/>
    </xf>
    <xf borderId="0" fillId="4" fontId="5" numFmtId="0" xfId="0" applyAlignment="1" applyFill="1" applyFont="1">
      <alignment shrinkToFit="0" vertical="center" wrapText="1"/>
    </xf>
    <xf borderId="0" fillId="4" fontId="5" numFmtId="0" xfId="0" applyAlignment="1" applyFill="1" applyFont="1">
      <alignment horizontal="center" shrinkToFit="0" vertical="center" wrapText="1"/>
    </xf>
    <xf borderId="0" fillId="4" fontId="5" numFmtId="164" xfId="0" applyAlignment="1" applyFill="1" applyFont="1" applyNumberFormat="1">
      <alignment horizontal="center" shrinkToFit="0" vertical="center" wrapText="1"/>
    </xf>
    <xf borderId="9" fillId="0" fontId="2" numFmtId="49" xfId="0" applyAlignment="1" applyBorder="1" applyFont="1" applyNumberFormat="1">
      <alignment horizontal="center" readingOrder="0" shrinkToFit="0" vertical="center" wrapText="1"/>
    </xf>
    <xf borderId="0" fillId="0" fontId="2" numFmtId="164" xfId="0" applyAlignment="1" applyFont="1" applyNumberFormat="1">
      <alignment horizontal="center" shrinkToFit="0" vertical="center" wrapText="1"/>
    </xf>
    <xf borderId="10" fillId="0" fontId="6"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0" fillId="5" fontId="5" numFmtId="0" xfId="0" applyAlignment="1" applyFill="1" applyFont="1">
      <alignment readingOrder="0" shrinkToFit="0" vertical="center" wrapText="1"/>
    </xf>
    <xf borderId="0" fillId="5" fontId="5" numFmtId="0" xfId="0" applyAlignment="1" applyFill="1" applyFont="1">
      <alignment shrinkToFit="0" vertical="center" wrapText="1"/>
    </xf>
    <xf borderId="0" fillId="5" fontId="5" numFmtId="0" xfId="0" applyAlignment="1" applyFill="1" applyFont="1">
      <alignment horizontal="center" shrinkToFit="0" vertical="center" wrapText="1"/>
    </xf>
    <xf borderId="0" fillId="5" fontId="5" numFmtId="164" xfId="0" applyAlignment="1" applyFill="1" applyFont="1" applyNumberFormat="1">
      <alignment horizontal="center" shrinkToFit="0" vertical="center" wrapText="1"/>
    </xf>
    <xf borderId="12" fillId="5" fontId="5" numFmtId="0" xfId="0" applyAlignment="1" applyBorder="1" applyFill="1" applyFont="1">
      <alignment readingOrder="0" shrinkToFit="0" vertical="center" wrapText="1"/>
    </xf>
    <xf borderId="2" fillId="0" fontId="2" numFmtId="0" xfId="0" applyAlignment="1" applyBorder="1" applyFont="1">
      <alignment horizontal="center" readingOrder="0" shrinkToFit="0" vertical="center" wrapText="1"/>
    </xf>
    <xf borderId="12" fillId="4" fontId="5" numFmtId="0" xfId="0" applyAlignment="1" applyBorder="1" applyFill="1" applyFont="1">
      <alignment readingOrder="0" shrinkToFit="0" vertical="center" wrapText="1"/>
    </xf>
    <xf borderId="0" fillId="6" fontId="7" numFmtId="0" xfId="0" applyAlignment="1" applyFill="1" applyFont="1">
      <alignment horizontal="center" readingOrder="0" shrinkToFit="0" vertical="center" wrapText="1"/>
    </xf>
    <xf borderId="0" fillId="6" fontId="5" numFmtId="0" xfId="0" applyAlignment="1" applyFill="1" applyFont="1">
      <alignment horizontal="left" readingOrder="0" shrinkToFit="0" vertical="center" wrapText="1"/>
    </xf>
    <xf borderId="0" fillId="0" fontId="5" numFmtId="0" xfId="0" applyAlignment="1" applyFont="1">
      <alignment horizontal="center" shrinkToFit="0" wrapText="1"/>
    </xf>
    <xf borderId="0" fillId="0" fontId="5" numFmtId="164" xfId="0" applyAlignment="1" applyFont="1" applyNumberFormat="1">
      <alignment horizontal="center" shrinkToFit="0" wrapText="1"/>
    </xf>
    <xf borderId="0" fillId="0" fontId="2" numFmtId="164" xfId="0" applyAlignment="1" applyFont="1" applyNumberFormat="1">
      <alignment horizontal="center" shrinkToFit="0" wrapText="1"/>
    </xf>
    <xf borderId="0" fillId="0" fontId="5" numFmtId="0" xfId="0" applyAlignment="1" applyFont="1">
      <alignment readingOrder="0" shrinkToFit="0" wrapText="1"/>
    </xf>
    <xf borderId="0" fillId="0" fontId="2" numFmtId="0" xfId="0" applyAlignment="1" applyFont="1">
      <alignment horizontal="center" shrinkToFit="0" wrapText="1"/>
    </xf>
    <xf borderId="10" fillId="0" fontId="8" numFmtId="0" xfId="0" applyAlignment="1" applyBorder="1" applyFont="1">
      <alignment horizontal="center" readingOrder="0" shrinkToFit="0" vertical="center" wrapText="1"/>
    </xf>
    <xf borderId="0" fillId="0" fontId="2" numFmtId="0" xfId="0" applyAlignment="1" applyFont="1">
      <alignment horizontal="center" readingOrder="0" shrinkToFit="0" wrapText="1"/>
    </xf>
    <xf borderId="0" fillId="0" fontId="5" numFmtId="0" xfId="0" applyAlignment="1" applyFont="1">
      <alignment shrinkToFit="0" wrapText="1"/>
    </xf>
    <xf borderId="10"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0"/>
    </xf>
    <xf borderId="0" fillId="0" fontId="9"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readingOrder="0" shrinkToFit="0" vertical="center" wrapText="1"/>
    </xf>
    <xf borderId="0" fillId="5" fontId="0" numFmtId="0" xfId="0" applyAlignment="1" applyFill="1" applyFont="1">
      <alignment readingOrder="0" shrinkToFit="0" vertical="center" wrapText="0"/>
    </xf>
    <xf borderId="0" fillId="5" fontId="10" numFmtId="0" xfId="0" applyAlignment="1" applyFill="1" applyFont="1">
      <alignment readingOrder="0" shrinkToFit="0" vertical="center" wrapText="0"/>
    </xf>
    <xf borderId="0" fillId="5" fontId="6" numFmtId="0" xfId="0" applyAlignment="1" applyFill="1" applyFont="1">
      <alignment readingOrder="0" shrinkToFit="0" vertical="center" wrapText="0"/>
    </xf>
    <xf borderId="0" fillId="0" fontId="2" numFmtId="0" xfId="0" applyAlignment="1" applyFont="1">
      <alignment shrinkToFit="0" vertical="center" wrapText="1"/>
    </xf>
    <xf borderId="0" fillId="5" fontId="11" numFmtId="0" xfId="0" applyAlignment="1" applyFill="1" applyFont="1">
      <alignment readingOrder="0" shrinkToFit="0" vertical="center" wrapText="0"/>
    </xf>
    <xf borderId="0" fillId="0" fontId="12" numFmtId="0" xfId="0" applyAlignment="1" applyFont="1">
      <alignment readingOrder="0" shrinkToFit="0" wrapText="1"/>
    </xf>
    <xf borderId="0" fillId="0" fontId="13" numFmtId="0" xfId="0" applyAlignment="1" applyFont="1">
      <alignment readingOrder="0" shrinkToFit="0" vertical="center" wrapText="1"/>
    </xf>
    <xf borderId="3" fillId="0" fontId="12" numFmtId="0" xfId="0" applyAlignment="1" applyBorder="1" applyFont="1">
      <alignment horizontal="center" readingOrder="0" shrinkToFit="0" vertical="center" wrapText="1"/>
    </xf>
    <xf borderId="6" fillId="0" fontId="2" numFmtId="0" xfId="0" applyAlignment="1" applyBorder="1" applyFont="1">
      <alignment readingOrder="0" shrinkToFit="0" wrapText="1"/>
    </xf>
    <xf borderId="13" fillId="0" fontId="3" numFmtId="0" xfId="0" applyBorder="1" applyFont="1"/>
    <xf borderId="0" fillId="0" fontId="2" numFmtId="0" xfId="0" applyAlignment="1" applyFont="1">
      <alignment shrinkToFit="0" wrapText="1"/>
    </xf>
    <xf borderId="0" fillId="0" fontId="2"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5">
    <tableStyle count="4" pivot="0" name="김소현-style">
      <tableStyleElement dxfId="1" type="headerRow"/>
      <tableStyleElement dxfId="2" type="firstRowStripe"/>
      <tableStyleElement dxfId="3" type="secondRowStripe"/>
      <tableStyleElement dxfId="4" size="0" type="wholeTable"/>
    </tableStyle>
    <tableStyle count="4" pivot="0" name="이진희-style">
      <tableStyleElement dxfId="1" type="headerRow"/>
      <tableStyleElement dxfId="2" type="firstRowStripe"/>
      <tableStyleElement dxfId="3" type="secondRowStripe"/>
      <tableStyleElement dxfId="4" size="0" type="wholeTable"/>
    </tableStyle>
    <tableStyle count="4" pivot="0" name="권용우-style">
      <tableStyleElement dxfId="1" type="headerRow"/>
      <tableStyleElement dxfId="2" type="firstRowStripe"/>
      <tableStyleElement dxfId="3" type="secondRowStripe"/>
      <tableStyleElement dxfId="4" size="0" type="wholeTable"/>
    </tableStyle>
    <tableStyle count="5" pivot="0" name="이혜현-style">
      <tableStyleElement dxfId="1" type="headerRow"/>
      <tableStyleElement dxfId="2" type="firstRowStripe"/>
      <tableStyleElement dxfId="3" type="secondRowStripe"/>
      <tableStyleElement dxfId="5" type="totalRow"/>
      <tableStyleElement dxfId="4" size="0" type="wholeTable"/>
    </tableStyle>
    <tableStyle count="4" pivot="0" name="전유경-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8" displayName="신용카드_이진희" name="신용카드_이진희" id="1">
  <tableColumns count="6">
    <tableColumn name="진행 순서" id="1"/>
    <tableColumn name="전처리 변경점" id="2"/>
    <tableColumn name="모델 변경점" id="3"/>
    <tableColumn name="사용모델" id="4"/>
    <tableColumn name="결과" id="5"/>
    <tableColumn name="6열" id="6"/>
  </tableColumns>
  <tableStyleInfo name="이진희-style" showColumnStripes="0" showFirstColumn="1" showLastColumn="1" showRowStripes="1"/>
</table>
</file>

<file path=xl/tables/table2.xml><?xml version="1.0" encoding="utf-8"?>
<table xmlns="http://schemas.openxmlformats.org/spreadsheetml/2006/main" ref="A1:H5" displayName="신용카드_권용우" name="신용카드_권용우" id="2">
  <tableColumns count="8">
    <tableColumn name="진행 순서" id="1"/>
    <tableColumn name="전처리 변경점" id="2"/>
    <tableColumn name="모델 변경점" id="3"/>
    <tableColumn name="사용모델" id="4"/>
    <tableColumn name="f1 스코어" id="5"/>
    <tableColumn name="AUC점수" id="6"/>
    <tableColumn name="등락" id="7"/>
    <tableColumn name="비고 및 변경 이유" id="8"/>
  </tableColumns>
  <tableStyleInfo name="권용우-style" showColumnStripes="0" showFirstColumn="1" showLastColumn="1" showRowStripes="1"/>
</table>
</file>

<file path=xl/tables/table3.xml><?xml version="1.0" encoding="utf-8"?>
<table xmlns="http://schemas.openxmlformats.org/spreadsheetml/2006/main" ref="A1:F108" displayName="신용카드_김소현" name="신용카드_김소현" id="3">
  <tableColumns count="6">
    <tableColumn name="진행 과정" id="1"/>
    <tableColumn name="진행 과정 구체화" id="2"/>
    <tableColumn name="중요한 변경점/채택점" id="3"/>
    <tableColumn name="사용모델" id="4"/>
    <tableColumn name="Silhouette" id="5"/>
    <tableColumn name="ARI / NMI" id="6"/>
  </tableColumns>
  <tableStyleInfo name="김소현-style" showColumnStripes="0" showFirstColumn="1" showLastColumn="1" showRowStripes="1"/>
</table>
</file>

<file path=xl/tables/table4.xml><?xml version="1.0" encoding="utf-8"?>
<table xmlns="http://schemas.openxmlformats.org/spreadsheetml/2006/main" totalsRowCount="1" ref="A1:I21" displayName="오피니언_이혜현" name="오피니언_이혜현" id="4">
  <tableColumns count="9">
    <tableColumn totalsRowLabel="느낀점" name="진행 순서" id="1"/>
    <tableColumn totalsRowLabel="정형 데이터와 달리 비정형 텍스트 데이터를 다루며 표제어 추출, N-gram, 불용어 제거 등 전처리의 중요성을 깊이 체감했습니다. K-Means, 계층 기반, GMM 세 모델이 정답 라벨 없이도 51개 문서를 호텔·자동차·전자기기로 98% 이상 완벽히 분류해내는 과정을 보며 비지도 학습의 강력함을 확인했습니다. 특히 고차원 희소 행렬에서의 실루엣 점수 한계와 PCA 2D 투영을 통한 군집 시각화 및 정량 평가의 필요성을 명확히 이해할 수 있는 유익한 프로젝트였습니다." name="진행 절차" id="2"/>
    <tableColumn name="전처리 변경점" id="3"/>
    <tableColumn name="모델 변경점" id="4"/>
    <tableColumn name="결고 및 확인 지표" id="5"/>
    <tableColumn name="사용모델" id="6"/>
    <tableColumn name="F1-Score" id="7"/>
    <tableColumn name="등락" id="8"/>
    <tableColumn name="6열" id="9"/>
  </tableColumns>
  <tableStyleInfo name="이혜현-style" showColumnStripes="0" showFirstColumn="1" showLastColumn="1" showRowStripes="1"/>
</table>
</file>

<file path=xl/tables/table5.xml><?xml version="1.0" encoding="utf-8"?>
<table xmlns="http://schemas.openxmlformats.org/spreadsheetml/2006/main" ref="A1:G19" displayName="신용카드_전유경" name="신용카드_전유경" id="5">
  <tableColumns count="7">
    <tableColumn name="진행 순서" id="1"/>
    <tableColumn name="진행 과정" id="2"/>
    <tableColumn name="모델 변경점" id="3"/>
    <tableColumn name="사용모델" id="4"/>
    <tableColumn name="점수" id="5"/>
    <tableColumn name="등락" id="6"/>
    <tableColumn name="비고" id="7"/>
  </tableColumns>
  <tableStyleInfo name="전유경-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4" width="22.63"/>
    <col customWidth="1" min="5" max="5" width="25.38"/>
    <col customWidth="1" min="6" max="6" width="119.0"/>
  </cols>
  <sheetData>
    <row r="1" ht="22.5" customHeight="1">
      <c r="A1" s="6" t="s">
        <v>54</v>
      </c>
      <c r="B1" s="6" t="s">
        <v>62</v>
      </c>
      <c r="C1" s="6" t="s">
        <v>64</v>
      </c>
      <c r="D1" s="6" t="s">
        <v>66</v>
      </c>
      <c r="E1" s="6" t="s">
        <v>68</v>
      </c>
      <c r="F1" s="6" t="s">
        <v>70</v>
      </c>
      <c r="G1" s="2"/>
      <c r="H1" s="2"/>
      <c r="I1" s="2"/>
      <c r="J1" s="2"/>
      <c r="K1" s="2"/>
      <c r="L1" s="2"/>
      <c r="M1" s="2"/>
      <c r="N1" s="2"/>
      <c r="O1" s="2"/>
      <c r="P1" s="2"/>
      <c r="Q1" s="2"/>
      <c r="R1" s="2"/>
      <c r="S1" s="2"/>
      <c r="T1" s="2"/>
      <c r="U1" s="2"/>
      <c r="V1" s="2"/>
      <c r="W1" s="2"/>
      <c r="X1" s="2"/>
      <c r="Y1" s="2"/>
      <c r="Z1" s="2"/>
    </row>
    <row r="2" ht="22.5" customHeight="1">
      <c r="A2" s="13" t="s">
        <v>80</v>
      </c>
      <c r="B2" s="15" t="s">
        <v>81</v>
      </c>
      <c r="C2" s="15" t="s">
        <v>84</v>
      </c>
      <c r="D2" s="19" t="s">
        <v>85</v>
      </c>
      <c r="E2" s="15"/>
      <c r="F2" s="23"/>
      <c r="G2" s="2"/>
      <c r="H2" s="2"/>
      <c r="I2" s="2"/>
      <c r="J2" s="2"/>
      <c r="K2" s="2"/>
      <c r="L2" s="2"/>
      <c r="M2" s="2"/>
      <c r="N2" s="2"/>
      <c r="O2" s="2"/>
      <c r="P2" s="2"/>
      <c r="Q2" s="2"/>
      <c r="R2" s="2"/>
      <c r="S2" s="2"/>
      <c r="T2" s="2"/>
      <c r="U2" s="2"/>
      <c r="V2" s="2"/>
      <c r="W2" s="2"/>
      <c r="X2" s="2"/>
      <c r="Y2" s="2"/>
      <c r="Z2" s="2"/>
    </row>
    <row r="3" ht="22.5" customHeight="1">
      <c r="A3" s="13">
        <v>1.0</v>
      </c>
      <c r="B3" s="15" t="s">
        <v>91</v>
      </c>
      <c r="C3" s="15"/>
      <c r="D3" s="31"/>
      <c r="E3" s="23"/>
      <c r="F3" s="23"/>
      <c r="G3" s="2"/>
      <c r="H3" s="2"/>
      <c r="I3" s="2"/>
      <c r="J3" s="2"/>
      <c r="K3" s="2"/>
      <c r="L3" s="2"/>
      <c r="M3" s="2"/>
      <c r="N3" s="2"/>
      <c r="O3" s="2"/>
      <c r="P3" s="2"/>
      <c r="Q3" s="2"/>
      <c r="R3" s="2"/>
      <c r="S3" s="2"/>
      <c r="T3" s="2"/>
      <c r="U3" s="2"/>
      <c r="V3" s="2"/>
      <c r="W3" s="2"/>
      <c r="X3" s="2"/>
      <c r="Y3" s="2"/>
      <c r="Z3" s="2"/>
    </row>
    <row r="4" ht="22.5" customHeight="1">
      <c r="A4" s="13">
        <v>2.0</v>
      </c>
      <c r="B4" s="15"/>
      <c r="C4" s="15" t="s">
        <v>94</v>
      </c>
      <c r="D4" s="19" t="s">
        <v>95</v>
      </c>
      <c r="E4" s="15" t="s">
        <v>96</v>
      </c>
      <c r="F4" s="15" t="s">
        <v>99</v>
      </c>
      <c r="G4" s="2"/>
      <c r="H4" s="2"/>
      <c r="I4" s="2"/>
      <c r="J4" s="2"/>
      <c r="K4" s="2"/>
      <c r="L4" s="2"/>
      <c r="M4" s="2"/>
      <c r="N4" s="2"/>
      <c r="O4" s="2"/>
      <c r="P4" s="2"/>
      <c r="Q4" s="2"/>
      <c r="R4" s="2"/>
      <c r="S4" s="2"/>
      <c r="T4" s="2"/>
      <c r="U4" s="2"/>
      <c r="V4" s="2"/>
      <c r="W4" s="2"/>
      <c r="X4" s="2"/>
      <c r="Y4" s="2"/>
      <c r="Z4" s="2"/>
    </row>
    <row r="5" ht="22.5" customHeight="1">
      <c r="A5" s="13">
        <v>3.0</v>
      </c>
      <c r="B5" s="15"/>
      <c r="C5" s="15" t="s">
        <v>100</v>
      </c>
      <c r="D5" s="19" t="s">
        <v>95</v>
      </c>
      <c r="E5" s="15" t="s">
        <v>17</v>
      </c>
      <c r="F5" s="15" t="s">
        <v>103</v>
      </c>
      <c r="G5" s="2"/>
      <c r="H5" s="2"/>
      <c r="I5" s="2"/>
      <c r="J5" s="2"/>
      <c r="K5" s="2"/>
      <c r="L5" s="2"/>
      <c r="M5" s="2"/>
      <c r="N5" s="2"/>
      <c r="O5" s="2"/>
      <c r="P5" s="2"/>
      <c r="Q5" s="2"/>
      <c r="R5" s="2"/>
      <c r="S5" s="2"/>
      <c r="T5" s="2"/>
      <c r="U5" s="2"/>
      <c r="V5" s="2"/>
      <c r="W5" s="2"/>
      <c r="X5" s="2"/>
      <c r="Y5" s="2"/>
      <c r="Z5" s="2"/>
    </row>
    <row r="6" ht="22.5" customHeight="1">
      <c r="A6" s="13">
        <v>4.0</v>
      </c>
      <c r="B6" s="23"/>
      <c r="C6" s="15" t="s">
        <v>105</v>
      </c>
      <c r="D6" s="19" t="s">
        <v>95</v>
      </c>
      <c r="E6" s="15" t="s">
        <v>107</v>
      </c>
      <c r="F6" s="15" t="s">
        <v>109</v>
      </c>
      <c r="G6" s="2"/>
      <c r="H6" s="2"/>
      <c r="I6" s="2"/>
      <c r="J6" s="2"/>
      <c r="K6" s="2"/>
      <c r="L6" s="2"/>
      <c r="M6" s="2"/>
      <c r="N6" s="2"/>
      <c r="O6" s="2"/>
      <c r="P6" s="2"/>
      <c r="Q6" s="2"/>
      <c r="R6" s="2"/>
      <c r="S6" s="2"/>
      <c r="T6" s="2"/>
      <c r="U6" s="2"/>
      <c r="V6" s="2"/>
      <c r="W6" s="2"/>
      <c r="X6" s="2"/>
      <c r="Y6" s="2"/>
      <c r="Z6" s="2"/>
    </row>
    <row r="7" ht="22.5" customHeight="1">
      <c r="A7" s="13">
        <v>5.0</v>
      </c>
      <c r="B7" s="23"/>
      <c r="C7" s="15" t="s">
        <v>111</v>
      </c>
      <c r="D7" s="19" t="s">
        <v>95</v>
      </c>
      <c r="E7" s="41" t="s">
        <v>26</v>
      </c>
      <c r="F7" s="15" t="s">
        <v>112</v>
      </c>
      <c r="G7" s="2"/>
      <c r="H7" s="2"/>
      <c r="I7" s="2"/>
      <c r="J7" s="2"/>
      <c r="K7" s="2"/>
      <c r="L7" s="2"/>
      <c r="M7" s="2"/>
      <c r="N7" s="2"/>
      <c r="O7" s="2"/>
      <c r="P7" s="2"/>
      <c r="Q7" s="2"/>
      <c r="R7" s="2"/>
      <c r="S7" s="2"/>
      <c r="T7" s="2"/>
      <c r="U7" s="2"/>
      <c r="V7" s="2"/>
      <c r="W7" s="2"/>
      <c r="X7" s="2"/>
      <c r="Y7" s="2"/>
      <c r="Z7" s="2"/>
    </row>
    <row r="8" ht="22.5" customHeight="1">
      <c r="A8" s="13">
        <v>6.0</v>
      </c>
      <c r="B8" s="15"/>
      <c r="C8" s="15" t="s">
        <v>116</v>
      </c>
      <c r="D8" s="19" t="s">
        <v>95</v>
      </c>
      <c r="E8" s="15" t="s">
        <v>30</v>
      </c>
      <c r="F8" s="15" t="s">
        <v>117</v>
      </c>
      <c r="G8" s="2"/>
      <c r="H8" s="2"/>
      <c r="I8" s="2"/>
      <c r="J8" s="2"/>
      <c r="K8" s="2"/>
      <c r="L8" s="2"/>
      <c r="M8" s="2"/>
      <c r="N8" s="2"/>
      <c r="O8" s="2"/>
      <c r="P8" s="2"/>
      <c r="Q8" s="2"/>
      <c r="R8" s="2"/>
      <c r="S8" s="2"/>
      <c r="T8" s="2"/>
      <c r="U8" s="2"/>
      <c r="V8" s="2"/>
      <c r="W8" s="2"/>
      <c r="X8" s="2"/>
      <c r="Y8" s="2"/>
      <c r="Z8" s="2"/>
    </row>
    <row r="9" ht="22.5" customHeight="1">
      <c r="A9" s="13">
        <v>7.0</v>
      </c>
      <c r="B9" s="23"/>
      <c r="C9" s="15" t="s">
        <v>118</v>
      </c>
      <c r="D9" s="19" t="s">
        <v>95</v>
      </c>
      <c r="E9" s="15" t="s">
        <v>34</v>
      </c>
      <c r="F9" s="23"/>
      <c r="G9" s="2"/>
      <c r="H9" s="2"/>
      <c r="I9" s="2"/>
      <c r="J9" s="2"/>
      <c r="K9" s="2"/>
      <c r="L9" s="2"/>
      <c r="M9" s="2"/>
      <c r="N9" s="2"/>
      <c r="O9" s="2"/>
      <c r="P9" s="2"/>
      <c r="Q9" s="2"/>
      <c r="R9" s="2"/>
      <c r="S9" s="2"/>
      <c r="T9" s="2"/>
      <c r="U9" s="2"/>
      <c r="V9" s="2"/>
      <c r="W9" s="2"/>
      <c r="X9" s="2"/>
      <c r="Y9" s="2"/>
      <c r="Z9" s="2"/>
    </row>
    <row r="10" ht="22.5" customHeight="1">
      <c r="A10" s="13">
        <v>8.0</v>
      </c>
      <c r="B10" s="15"/>
      <c r="C10" s="15" t="s">
        <v>121</v>
      </c>
      <c r="D10" s="19" t="s">
        <v>122</v>
      </c>
      <c r="E10" s="15"/>
      <c r="F10" s="15" t="s">
        <v>125</v>
      </c>
      <c r="G10" s="2"/>
      <c r="H10" s="2"/>
      <c r="I10" s="2"/>
      <c r="J10" s="2"/>
      <c r="K10" s="2"/>
      <c r="L10" s="2"/>
      <c r="M10" s="2"/>
      <c r="N10" s="2"/>
      <c r="O10" s="2"/>
      <c r="P10" s="2"/>
      <c r="Q10" s="2"/>
      <c r="R10" s="2"/>
      <c r="S10" s="2"/>
      <c r="T10" s="2"/>
      <c r="U10" s="2"/>
      <c r="V10" s="2"/>
      <c r="W10" s="2"/>
      <c r="X10" s="2"/>
      <c r="Y10" s="2"/>
      <c r="Z10" s="2"/>
    </row>
    <row r="11" ht="22.5" customHeight="1">
      <c r="A11" s="13">
        <v>9.0</v>
      </c>
      <c r="B11" s="15"/>
      <c r="C11" s="15" t="s">
        <v>128</v>
      </c>
      <c r="D11" s="19" t="s">
        <v>122</v>
      </c>
      <c r="E11" s="15" t="s">
        <v>130</v>
      </c>
      <c r="F11" s="15" t="s">
        <v>133</v>
      </c>
      <c r="G11" s="2"/>
      <c r="H11" s="2"/>
      <c r="I11" s="2"/>
      <c r="J11" s="2"/>
      <c r="K11" s="2"/>
      <c r="L11" s="2"/>
      <c r="M11" s="2"/>
      <c r="N11" s="2"/>
      <c r="O11" s="2"/>
      <c r="P11" s="2"/>
      <c r="Q11" s="2"/>
      <c r="R11" s="2"/>
      <c r="S11" s="2"/>
      <c r="T11" s="2"/>
      <c r="U11" s="2"/>
      <c r="V11" s="2"/>
      <c r="W11" s="2"/>
      <c r="X11" s="2"/>
      <c r="Y11" s="2"/>
      <c r="Z11" s="2"/>
    </row>
    <row r="12" ht="22.5" customHeight="1">
      <c r="A12" s="13">
        <v>10.0</v>
      </c>
      <c r="B12" s="15" t="s">
        <v>134</v>
      </c>
      <c r="C12" s="15"/>
      <c r="D12" s="19" t="s">
        <v>122</v>
      </c>
      <c r="E12" s="15" t="s">
        <v>138</v>
      </c>
      <c r="F12" s="15" t="s">
        <v>139</v>
      </c>
      <c r="G12" s="2"/>
      <c r="H12" s="2"/>
      <c r="I12" s="2"/>
      <c r="J12" s="2"/>
      <c r="K12" s="2"/>
      <c r="L12" s="2"/>
      <c r="M12" s="2"/>
      <c r="N12" s="2"/>
      <c r="O12" s="2"/>
      <c r="P12" s="2"/>
      <c r="Q12" s="2"/>
      <c r="R12" s="2"/>
      <c r="S12" s="2"/>
      <c r="T12" s="2"/>
      <c r="U12" s="2"/>
      <c r="V12" s="2"/>
      <c r="W12" s="2"/>
      <c r="X12" s="2"/>
      <c r="Y12" s="2"/>
      <c r="Z12" s="2"/>
    </row>
    <row r="13" ht="22.5" customHeight="1">
      <c r="A13" s="13">
        <v>11.0</v>
      </c>
      <c r="B13" s="15" t="s">
        <v>141</v>
      </c>
      <c r="C13" s="15" t="s">
        <v>142</v>
      </c>
      <c r="D13" s="19" t="s">
        <v>144</v>
      </c>
      <c r="E13" s="15" t="s">
        <v>55</v>
      </c>
      <c r="F13" s="15" t="s">
        <v>145</v>
      </c>
      <c r="G13" s="2"/>
      <c r="H13" s="2"/>
      <c r="I13" s="2"/>
      <c r="J13" s="2"/>
      <c r="K13" s="2"/>
      <c r="L13" s="2"/>
      <c r="M13" s="2"/>
      <c r="N13" s="2"/>
      <c r="O13" s="2"/>
      <c r="P13" s="2"/>
      <c r="Q13" s="2"/>
      <c r="R13" s="2"/>
      <c r="S13" s="2"/>
      <c r="T13" s="2"/>
      <c r="U13" s="2"/>
      <c r="V13" s="2"/>
      <c r="W13" s="2"/>
      <c r="X13" s="2"/>
      <c r="Y13" s="2"/>
      <c r="Z13" s="2"/>
    </row>
    <row r="14" ht="22.5" customHeight="1">
      <c r="A14" s="13">
        <v>12.0</v>
      </c>
      <c r="B14" s="15" t="s">
        <v>148</v>
      </c>
      <c r="C14" s="15"/>
      <c r="D14" s="19" t="s">
        <v>144</v>
      </c>
      <c r="E14" s="15" t="s">
        <v>149</v>
      </c>
      <c r="F14" s="23"/>
      <c r="G14" s="2"/>
      <c r="H14" s="2"/>
      <c r="I14" s="2"/>
      <c r="J14" s="2"/>
      <c r="K14" s="2"/>
      <c r="L14" s="2"/>
      <c r="M14" s="2"/>
      <c r="N14" s="2"/>
      <c r="O14" s="2"/>
      <c r="P14" s="2"/>
      <c r="Q14" s="2"/>
      <c r="R14" s="2"/>
      <c r="S14" s="2"/>
      <c r="T14" s="2"/>
      <c r="U14" s="2"/>
      <c r="V14" s="2"/>
      <c r="W14" s="2"/>
      <c r="X14" s="2"/>
      <c r="Y14" s="2"/>
      <c r="Z14" s="2"/>
    </row>
    <row r="15" ht="22.5" customHeight="1">
      <c r="A15" s="13">
        <v>13.0</v>
      </c>
      <c r="B15" s="23"/>
      <c r="C15" s="15" t="s">
        <v>151</v>
      </c>
      <c r="D15" s="19" t="s">
        <v>144</v>
      </c>
      <c r="E15" s="15" t="s">
        <v>152</v>
      </c>
      <c r="F15" s="15" t="s">
        <v>153</v>
      </c>
      <c r="G15" s="2"/>
      <c r="H15" s="2"/>
      <c r="I15" s="2"/>
      <c r="J15" s="2"/>
      <c r="K15" s="2"/>
      <c r="L15" s="2"/>
      <c r="M15" s="2"/>
      <c r="N15" s="2"/>
      <c r="O15" s="2"/>
      <c r="P15" s="2"/>
      <c r="Q15" s="2"/>
      <c r="R15" s="2"/>
      <c r="S15" s="2"/>
      <c r="T15" s="2"/>
      <c r="U15" s="2"/>
      <c r="V15" s="2"/>
      <c r="W15" s="2"/>
      <c r="X15" s="2"/>
      <c r="Y15" s="2"/>
      <c r="Z15" s="2"/>
    </row>
    <row r="16" ht="22.5" customHeight="1">
      <c r="A16" s="13">
        <v>14.0</v>
      </c>
      <c r="B16" s="23"/>
      <c r="C16" s="23"/>
      <c r="D16" s="31"/>
      <c r="E16" s="23"/>
      <c r="F16" s="23"/>
      <c r="G16" s="2"/>
      <c r="H16" s="2"/>
      <c r="I16" s="2"/>
      <c r="J16" s="2"/>
      <c r="K16" s="2"/>
      <c r="L16" s="2"/>
      <c r="M16" s="2"/>
      <c r="N16" s="2"/>
      <c r="O16" s="2"/>
      <c r="P16" s="2"/>
      <c r="Q16" s="2"/>
      <c r="R16" s="2"/>
      <c r="S16" s="2"/>
      <c r="T16" s="2"/>
      <c r="U16" s="2"/>
      <c r="V16" s="2"/>
      <c r="W16" s="2"/>
      <c r="X16" s="2"/>
      <c r="Y16" s="2"/>
      <c r="Z16" s="2"/>
    </row>
    <row r="17" ht="22.5" customHeight="1">
      <c r="A17" s="13">
        <v>15.0</v>
      </c>
      <c r="B17" s="23"/>
      <c r="C17" s="23"/>
      <c r="D17" s="31"/>
      <c r="E17" s="23"/>
      <c r="F17" s="23"/>
      <c r="G17" s="2"/>
      <c r="H17" s="2"/>
      <c r="I17" s="2"/>
      <c r="J17" s="2"/>
      <c r="K17" s="2"/>
      <c r="L17" s="2"/>
      <c r="M17" s="2"/>
      <c r="N17" s="2"/>
      <c r="O17" s="2"/>
      <c r="P17" s="2"/>
      <c r="Q17" s="2"/>
      <c r="R17" s="2"/>
      <c r="S17" s="2"/>
      <c r="T17" s="2"/>
      <c r="U17" s="2"/>
      <c r="V17" s="2"/>
      <c r="W17" s="2"/>
      <c r="X17" s="2"/>
      <c r="Y17" s="2"/>
      <c r="Z17" s="2"/>
    </row>
    <row r="18" ht="22.5" customHeight="1">
      <c r="A18" s="13">
        <v>16.0</v>
      </c>
      <c r="B18" s="23"/>
      <c r="C18" s="23"/>
      <c r="D18" s="31"/>
      <c r="E18" s="23"/>
      <c r="F18" s="23"/>
      <c r="G18" s="2"/>
      <c r="H18" s="2"/>
      <c r="I18" s="2"/>
      <c r="J18" s="2"/>
      <c r="K18" s="2"/>
      <c r="L18" s="2"/>
      <c r="M18" s="2"/>
      <c r="N18" s="2"/>
      <c r="O18" s="2"/>
      <c r="P18" s="2"/>
      <c r="Q18" s="2"/>
      <c r="R18" s="2"/>
      <c r="S18" s="2"/>
      <c r="T18" s="2"/>
      <c r="U18" s="2"/>
      <c r="V18" s="2"/>
      <c r="W18" s="2"/>
      <c r="X18" s="2"/>
      <c r="Y18" s="2"/>
      <c r="Z18" s="2"/>
    </row>
    <row r="19" ht="22.5" customHeight="1">
      <c r="A19" s="13">
        <v>17.0</v>
      </c>
      <c r="B19" s="23"/>
      <c r="C19" s="23"/>
      <c r="D19" s="31"/>
      <c r="E19" s="23"/>
      <c r="F19" s="23"/>
      <c r="G19" s="2"/>
      <c r="H19" s="2"/>
      <c r="I19" s="2"/>
      <c r="J19" s="2"/>
      <c r="K19" s="2"/>
      <c r="L19" s="2"/>
      <c r="M19" s="2"/>
      <c r="N19" s="2"/>
      <c r="O19" s="2"/>
      <c r="P19" s="2"/>
      <c r="Q19" s="2"/>
      <c r="R19" s="2"/>
      <c r="S19" s="2"/>
      <c r="T19" s="2"/>
      <c r="U19" s="2"/>
      <c r="V19" s="2"/>
      <c r="W19" s="2"/>
      <c r="X19" s="2"/>
      <c r="Y19" s="2"/>
      <c r="Z19" s="2"/>
    </row>
    <row r="20" ht="22.5" customHeight="1">
      <c r="A20" s="13">
        <v>18.0</v>
      </c>
      <c r="B20" s="23"/>
      <c r="C20" s="23"/>
      <c r="D20" s="31"/>
      <c r="E20" s="23"/>
      <c r="F20" s="23"/>
      <c r="G20" s="2"/>
      <c r="H20" s="2"/>
      <c r="I20" s="2"/>
      <c r="J20" s="2"/>
      <c r="K20" s="2"/>
      <c r="L20" s="2"/>
      <c r="M20" s="2"/>
      <c r="N20" s="2"/>
      <c r="O20" s="2"/>
      <c r="P20" s="2"/>
      <c r="Q20" s="2"/>
      <c r="R20" s="2"/>
      <c r="S20" s="2"/>
      <c r="T20" s="2"/>
      <c r="U20" s="2"/>
      <c r="V20" s="2"/>
      <c r="W20" s="2"/>
      <c r="X20" s="2"/>
      <c r="Y20" s="2"/>
      <c r="Z20" s="2"/>
    </row>
    <row r="21" ht="22.5" customHeight="1">
      <c r="A21" s="13">
        <v>19.0</v>
      </c>
      <c r="B21" s="23"/>
      <c r="C21" s="23"/>
      <c r="D21" s="31"/>
      <c r="E21" s="23"/>
      <c r="F21" s="23"/>
      <c r="G21" s="2"/>
      <c r="H21" s="2"/>
      <c r="I21" s="2"/>
      <c r="J21" s="2"/>
      <c r="K21" s="2"/>
      <c r="L21" s="2"/>
      <c r="M21" s="2"/>
      <c r="N21" s="2"/>
      <c r="O21" s="2"/>
      <c r="P21" s="2"/>
      <c r="Q21" s="2"/>
      <c r="R21" s="2"/>
      <c r="S21" s="2"/>
      <c r="T21" s="2"/>
      <c r="U21" s="2"/>
      <c r="V21" s="2"/>
      <c r="W21" s="2"/>
      <c r="X21" s="2"/>
      <c r="Y21" s="2"/>
      <c r="Z21" s="2"/>
    </row>
    <row r="22" ht="22.5" customHeight="1">
      <c r="A22" s="13">
        <v>20.0</v>
      </c>
      <c r="B22" s="23"/>
      <c r="C22" s="23"/>
      <c r="D22" s="31"/>
      <c r="E22" s="23"/>
      <c r="F22" s="23"/>
      <c r="G22" s="2"/>
      <c r="H22" s="2"/>
      <c r="I22" s="2"/>
      <c r="J22" s="2"/>
      <c r="K22" s="2"/>
      <c r="L22" s="2"/>
      <c r="M22" s="2"/>
      <c r="N22" s="2"/>
      <c r="O22" s="2"/>
      <c r="P22" s="2"/>
      <c r="Q22" s="2"/>
      <c r="R22" s="2"/>
      <c r="S22" s="2"/>
      <c r="T22" s="2"/>
      <c r="U22" s="2"/>
      <c r="V22" s="2"/>
      <c r="W22" s="2"/>
      <c r="X22" s="2"/>
      <c r="Y22" s="2"/>
      <c r="Z22" s="2"/>
    </row>
    <row r="23" ht="22.5" customHeight="1">
      <c r="A23" s="13">
        <v>21.0</v>
      </c>
      <c r="B23" s="23"/>
      <c r="C23" s="23"/>
      <c r="D23" s="31"/>
      <c r="E23" s="23"/>
      <c r="F23" s="23"/>
      <c r="G23" s="2"/>
      <c r="H23" s="2"/>
      <c r="I23" s="2"/>
      <c r="J23" s="2"/>
      <c r="K23" s="2"/>
      <c r="L23" s="2"/>
      <c r="M23" s="2"/>
      <c r="N23" s="2"/>
      <c r="O23" s="2"/>
      <c r="P23" s="2"/>
      <c r="Q23" s="2"/>
      <c r="R23" s="2"/>
      <c r="S23" s="2"/>
      <c r="T23" s="2"/>
      <c r="U23" s="2"/>
      <c r="V23" s="2"/>
      <c r="W23" s="2"/>
      <c r="X23" s="2"/>
      <c r="Y23" s="2"/>
      <c r="Z23" s="2"/>
    </row>
    <row r="24" ht="22.5" customHeight="1">
      <c r="A24" s="13">
        <v>22.0</v>
      </c>
      <c r="B24" s="23"/>
      <c r="C24" s="23"/>
      <c r="D24" s="31"/>
      <c r="E24" s="23"/>
      <c r="F24" s="23"/>
      <c r="G24" s="2"/>
      <c r="H24" s="2"/>
      <c r="I24" s="2"/>
      <c r="J24" s="2"/>
      <c r="K24" s="2"/>
      <c r="L24" s="2"/>
      <c r="M24" s="2"/>
      <c r="N24" s="2"/>
      <c r="O24" s="2"/>
      <c r="P24" s="2"/>
      <c r="Q24" s="2"/>
      <c r="R24" s="2"/>
      <c r="S24" s="2"/>
      <c r="T24" s="2"/>
      <c r="U24" s="2"/>
      <c r="V24" s="2"/>
      <c r="W24" s="2"/>
      <c r="X24" s="2"/>
      <c r="Y24" s="2"/>
      <c r="Z24" s="2"/>
    </row>
    <row r="25" ht="22.5" customHeight="1">
      <c r="A25" s="13">
        <v>23.0</v>
      </c>
      <c r="B25" s="23"/>
      <c r="C25" s="23"/>
      <c r="D25" s="31"/>
      <c r="E25" s="23"/>
      <c r="F25" s="23"/>
      <c r="G25" s="2"/>
      <c r="H25" s="2"/>
      <c r="I25" s="2"/>
      <c r="J25" s="2"/>
      <c r="K25" s="2"/>
      <c r="L25" s="2"/>
      <c r="M25" s="2"/>
      <c r="N25" s="2"/>
      <c r="O25" s="2"/>
      <c r="P25" s="2"/>
      <c r="Q25" s="2"/>
      <c r="R25" s="2"/>
      <c r="S25" s="2"/>
      <c r="T25" s="2"/>
      <c r="U25" s="2"/>
      <c r="V25" s="2"/>
      <c r="W25" s="2"/>
      <c r="X25" s="2"/>
      <c r="Y25" s="2"/>
      <c r="Z25" s="2"/>
    </row>
    <row r="26" ht="22.5" customHeight="1">
      <c r="A26" s="13">
        <v>24.0</v>
      </c>
      <c r="B26" s="23"/>
      <c r="C26" s="23"/>
      <c r="D26" s="31"/>
      <c r="E26" s="23"/>
      <c r="F26" s="23"/>
      <c r="G26" s="2"/>
      <c r="H26" s="2"/>
      <c r="I26" s="2"/>
      <c r="J26" s="2"/>
      <c r="K26" s="2"/>
      <c r="L26" s="2"/>
      <c r="M26" s="2"/>
      <c r="N26" s="2"/>
      <c r="O26" s="2"/>
      <c r="P26" s="2"/>
      <c r="Q26" s="2"/>
      <c r="R26" s="2"/>
      <c r="S26" s="2"/>
      <c r="T26" s="2"/>
      <c r="U26" s="2"/>
      <c r="V26" s="2"/>
      <c r="W26" s="2"/>
      <c r="X26" s="2"/>
      <c r="Y26" s="2"/>
      <c r="Z26" s="2"/>
    </row>
    <row r="27" ht="22.5" customHeight="1">
      <c r="A27" s="13">
        <v>25.0</v>
      </c>
      <c r="B27" s="23"/>
      <c r="C27" s="23"/>
      <c r="D27" s="31"/>
      <c r="E27" s="23"/>
      <c r="F27" s="23"/>
      <c r="G27" s="2"/>
      <c r="H27" s="2"/>
      <c r="I27" s="2"/>
      <c r="J27" s="2"/>
      <c r="K27" s="2"/>
      <c r="L27" s="2"/>
      <c r="M27" s="2"/>
      <c r="N27" s="2"/>
      <c r="O27" s="2"/>
      <c r="P27" s="2"/>
      <c r="Q27" s="2"/>
      <c r="R27" s="2"/>
      <c r="S27" s="2"/>
      <c r="T27" s="2"/>
      <c r="U27" s="2"/>
      <c r="V27" s="2"/>
      <c r="W27" s="2"/>
      <c r="X27" s="2"/>
      <c r="Y27" s="2"/>
      <c r="Z27" s="2"/>
    </row>
    <row r="28" ht="22.5" customHeight="1">
      <c r="A28" s="13">
        <v>26.0</v>
      </c>
      <c r="B28" s="23"/>
      <c r="C28" s="23"/>
      <c r="D28" s="31"/>
      <c r="E28" s="23"/>
      <c r="F28" s="23"/>
      <c r="G28" s="2"/>
      <c r="H28" s="2"/>
      <c r="I28" s="2"/>
      <c r="J28" s="2"/>
      <c r="K28" s="2"/>
      <c r="L28" s="2"/>
      <c r="M28" s="2"/>
      <c r="N28" s="2"/>
      <c r="O28" s="2"/>
      <c r="P28" s="2"/>
      <c r="Q28" s="2"/>
      <c r="R28" s="2"/>
      <c r="S28" s="2"/>
      <c r="T28" s="2"/>
      <c r="U28" s="2"/>
      <c r="V28" s="2"/>
      <c r="W28" s="2"/>
      <c r="X28" s="2"/>
      <c r="Y28" s="2"/>
      <c r="Z28" s="2"/>
    </row>
    <row r="29" ht="22.5" customHeight="1">
      <c r="A29" s="13">
        <v>27.0</v>
      </c>
      <c r="B29" s="23"/>
      <c r="C29" s="23"/>
      <c r="D29" s="31"/>
      <c r="E29" s="23"/>
      <c r="F29" s="23"/>
      <c r="G29" s="2"/>
      <c r="H29" s="2"/>
      <c r="I29" s="2"/>
      <c r="J29" s="2"/>
      <c r="K29" s="2"/>
      <c r="L29" s="2"/>
      <c r="M29" s="2"/>
      <c r="N29" s="2"/>
      <c r="O29" s="2"/>
      <c r="P29" s="2"/>
      <c r="Q29" s="2"/>
      <c r="R29" s="2"/>
      <c r="S29" s="2"/>
      <c r="T29" s="2"/>
      <c r="U29" s="2"/>
      <c r="V29" s="2"/>
      <c r="W29" s="2"/>
      <c r="X29" s="2"/>
      <c r="Y29" s="2"/>
      <c r="Z29" s="2"/>
    </row>
    <row r="30" ht="22.5" customHeight="1">
      <c r="A30" s="13">
        <v>28.0</v>
      </c>
      <c r="B30" s="23"/>
      <c r="C30" s="23"/>
      <c r="D30" s="31"/>
      <c r="E30" s="23"/>
      <c r="F30" s="23"/>
      <c r="G30" s="2"/>
      <c r="H30" s="2"/>
      <c r="I30" s="2"/>
      <c r="J30" s="2"/>
      <c r="K30" s="2"/>
      <c r="L30" s="2"/>
      <c r="M30" s="2"/>
      <c r="N30" s="2"/>
      <c r="O30" s="2"/>
      <c r="P30" s="2"/>
      <c r="Q30" s="2"/>
      <c r="R30" s="2"/>
      <c r="S30" s="2"/>
      <c r="T30" s="2"/>
      <c r="U30" s="2"/>
      <c r="V30" s="2"/>
      <c r="W30" s="2"/>
      <c r="X30" s="2"/>
      <c r="Y30" s="2"/>
      <c r="Z30" s="2"/>
    </row>
    <row r="31" ht="22.5" customHeight="1">
      <c r="A31" s="13">
        <v>29.0</v>
      </c>
      <c r="B31" s="23"/>
      <c r="C31" s="23"/>
      <c r="D31" s="31"/>
      <c r="E31" s="23"/>
      <c r="F31" s="23"/>
      <c r="G31" s="2"/>
      <c r="H31" s="2"/>
      <c r="I31" s="2"/>
      <c r="J31" s="2"/>
      <c r="K31" s="2"/>
      <c r="L31" s="2"/>
      <c r="M31" s="2"/>
      <c r="N31" s="2"/>
      <c r="O31" s="2"/>
      <c r="P31" s="2"/>
      <c r="Q31" s="2"/>
      <c r="R31" s="2"/>
      <c r="S31" s="2"/>
      <c r="T31" s="2"/>
      <c r="U31" s="2"/>
      <c r="V31" s="2"/>
      <c r="W31" s="2"/>
      <c r="X31" s="2"/>
      <c r="Y31" s="2"/>
      <c r="Z31" s="2"/>
    </row>
    <row r="32" ht="22.5" customHeight="1">
      <c r="A32" s="13">
        <v>30.0</v>
      </c>
      <c r="B32" s="23"/>
      <c r="C32" s="23"/>
      <c r="D32" s="31"/>
      <c r="E32" s="23"/>
      <c r="F32" s="23"/>
      <c r="G32" s="2"/>
      <c r="H32" s="2"/>
      <c r="I32" s="2"/>
      <c r="J32" s="2"/>
      <c r="K32" s="2"/>
      <c r="L32" s="2"/>
      <c r="M32" s="2"/>
      <c r="N32" s="2"/>
      <c r="O32" s="2"/>
      <c r="P32" s="2"/>
      <c r="Q32" s="2"/>
      <c r="R32" s="2"/>
      <c r="S32" s="2"/>
      <c r="T32" s="2"/>
      <c r="U32" s="2"/>
      <c r="V32" s="2"/>
      <c r="W32" s="2"/>
      <c r="X32" s="2"/>
      <c r="Y32" s="2"/>
      <c r="Z32" s="2"/>
    </row>
    <row r="33" ht="22.5" customHeight="1">
      <c r="A33" s="13">
        <v>31.0</v>
      </c>
      <c r="B33" s="23"/>
      <c r="C33" s="23"/>
      <c r="D33" s="31"/>
      <c r="E33" s="23"/>
      <c r="F33" s="23"/>
      <c r="G33" s="2"/>
      <c r="H33" s="2"/>
      <c r="I33" s="2"/>
      <c r="J33" s="2"/>
      <c r="K33" s="2"/>
      <c r="L33" s="2"/>
      <c r="M33" s="2"/>
      <c r="N33" s="2"/>
      <c r="O33" s="2"/>
      <c r="P33" s="2"/>
      <c r="Q33" s="2"/>
      <c r="R33" s="2"/>
      <c r="S33" s="2"/>
      <c r="T33" s="2"/>
      <c r="U33" s="2"/>
      <c r="V33" s="2"/>
      <c r="W33" s="2"/>
      <c r="X33" s="2"/>
      <c r="Y33" s="2"/>
      <c r="Z33" s="2"/>
    </row>
    <row r="34" ht="22.5" customHeight="1">
      <c r="A34" s="13">
        <v>32.0</v>
      </c>
      <c r="B34" s="23"/>
      <c r="C34" s="23"/>
      <c r="D34" s="31"/>
      <c r="E34" s="23"/>
      <c r="F34" s="23"/>
      <c r="G34" s="2"/>
      <c r="H34" s="2"/>
      <c r="I34" s="2"/>
      <c r="J34" s="2"/>
      <c r="K34" s="2"/>
      <c r="L34" s="2"/>
      <c r="M34" s="2"/>
      <c r="N34" s="2"/>
      <c r="O34" s="2"/>
      <c r="P34" s="2"/>
      <c r="Q34" s="2"/>
      <c r="R34" s="2"/>
      <c r="S34" s="2"/>
      <c r="T34" s="2"/>
      <c r="U34" s="2"/>
      <c r="V34" s="2"/>
      <c r="W34" s="2"/>
      <c r="X34" s="2"/>
      <c r="Y34" s="2"/>
      <c r="Z34" s="2"/>
    </row>
    <row r="35" ht="22.5" customHeight="1">
      <c r="A35" s="13">
        <v>33.0</v>
      </c>
      <c r="B35" s="23"/>
      <c r="C35" s="23"/>
      <c r="D35" s="31"/>
      <c r="E35" s="23"/>
      <c r="F35" s="23"/>
      <c r="G35" s="2"/>
      <c r="H35" s="2"/>
      <c r="I35" s="2"/>
      <c r="J35" s="2"/>
      <c r="K35" s="2"/>
      <c r="L35" s="2"/>
      <c r="M35" s="2"/>
      <c r="N35" s="2"/>
      <c r="O35" s="2"/>
      <c r="P35" s="2"/>
      <c r="Q35" s="2"/>
      <c r="R35" s="2"/>
      <c r="S35" s="2"/>
      <c r="T35" s="2"/>
      <c r="U35" s="2"/>
      <c r="V35" s="2"/>
      <c r="W35" s="2"/>
      <c r="X35" s="2"/>
      <c r="Y35" s="2"/>
      <c r="Z35" s="2"/>
    </row>
    <row r="36" ht="22.5" customHeight="1">
      <c r="A36" s="13">
        <v>34.0</v>
      </c>
      <c r="B36" s="23"/>
      <c r="C36" s="23"/>
      <c r="D36" s="31"/>
      <c r="E36" s="23"/>
      <c r="F36" s="23"/>
      <c r="G36" s="2"/>
      <c r="H36" s="2"/>
      <c r="I36" s="2"/>
      <c r="J36" s="2"/>
      <c r="K36" s="2"/>
      <c r="L36" s="2"/>
      <c r="M36" s="2"/>
      <c r="N36" s="2"/>
      <c r="O36" s="2"/>
      <c r="P36" s="2"/>
      <c r="Q36" s="2"/>
      <c r="R36" s="2"/>
      <c r="S36" s="2"/>
      <c r="T36" s="2"/>
      <c r="U36" s="2"/>
      <c r="V36" s="2"/>
      <c r="W36" s="2"/>
      <c r="X36" s="2"/>
      <c r="Y36" s="2"/>
      <c r="Z36" s="2"/>
    </row>
    <row r="37" ht="22.5" customHeight="1">
      <c r="A37" s="13">
        <v>35.0</v>
      </c>
      <c r="B37" s="23"/>
      <c r="C37" s="23"/>
      <c r="D37" s="31"/>
      <c r="E37" s="23"/>
      <c r="F37" s="23"/>
      <c r="G37" s="2"/>
      <c r="H37" s="2"/>
      <c r="I37" s="2"/>
      <c r="J37" s="2"/>
      <c r="K37" s="2"/>
      <c r="L37" s="2"/>
      <c r="M37" s="2"/>
      <c r="N37" s="2"/>
      <c r="O37" s="2"/>
      <c r="P37" s="2"/>
      <c r="Q37" s="2"/>
      <c r="R37" s="2"/>
      <c r="S37" s="2"/>
      <c r="T37" s="2"/>
      <c r="U37" s="2"/>
      <c r="V37" s="2"/>
      <c r="W37" s="2"/>
      <c r="X37" s="2"/>
      <c r="Y37" s="2"/>
      <c r="Z37" s="2"/>
    </row>
    <row r="38" ht="22.5" customHeight="1">
      <c r="A38" s="13">
        <v>36.0</v>
      </c>
      <c r="B38" s="23"/>
      <c r="C38" s="23"/>
      <c r="D38" s="31"/>
      <c r="E38" s="23"/>
      <c r="F38" s="23"/>
      <c r="G38" s="2"/>
      <c r="H38" s="2"/>
      <c r="I38" s="2"/>
      <c r="J38" s="2"/>
      <c r="K38" s="2"/>
      <c r="L38" s="2"/>
      <c r="M38" s="2"/>
      <c r="N38" s="2"/>
      <c r="O38" s="2"/>
      <c r="P38" s="2"/>
      <c r="Q38" s="2"/>
      <c r="R38" s="2"/>
      <c r="S38" s="2"/>
      <c r="T38" s="2"/>
      <c r="U38" s="2"/>
      <c r="V38" s="2"/>
      <c r="W38" s="2"/>
      <c r="X38" s="2"/>
      <c r="Y38" s="2"/>
      <c r="Z38" s="2"/>
    </row>
    <row r="39" ht="22.5" customHeight="1">
      <c r="A39" s="13">
        <v>37.0</v>
      </c>
      <c r="B39" s="23"/>
      <c r="C39" s="23"/>
      <c r="D39" s="31"/>
      <c r="E39" s="23"/>
      <c r="F39" s="23"/>
      <c r="G39" s="2"/>
      <c r="H39" s="2"/>
      <c r="I39" s="2"/>
      <c r="J39" s="2"/>
      <c r="K39" s="2"/>
      <c r="L39" s="2"/>
      <c r="M39" s="2"/>
      <c r="N39" s="2"/>
      <c r="O39" s="2"/>
      <c r="P39" s="2"/>
      <c r="Q39" s="2"/>
      <c r="R39" s="2"/>
      <c r="S39" s="2"/>
      <c r="T39" s="2"/>
      <c r="U39" s="2"/>
      <c r="V39" s="2"/>
      <c r="W39" s="2"/>
      <c r="X39" s="2"/>
      <c r="Y39" s="2"/>
      <c r="Z39" s="2"/>
    </row>
    <row r="40" ht="22.5" customHeight="1">
      <c r="A40" s="13">
        <v>38.0</v>
      </c>
      <c r="B40" s="23"/>
      <c r="C40" s="23"/>
      <c r="D40" s="31"/>
      <c r="E40" s="23"/>
      <c r="F40" s="23"/>
      <c r="G40" s="2"/>
      <c r="H40" s="2"/>
      <c r="I40" s="2"/>
      <c r="J40" s="2"/>
      <c r="K40" s="2"/>
      <c r="L40" s="2"/>
      <c r="M40" s="2"/>
      <c r="N40" s="2"/>
      <c r="O40" s="2"/>
      <c r="P40" s="2"/>
      <c r="Q40" s="2"/>
      <c r="R40" s="2"/>
      <c r="S40" s="2"/>
      <c r="T40" s="2"/>
      <c r="U40" s="2"/>
      <c r="V40" s="2"/>
      <c r="W40" s="2"/>
      <c r="X40" s="2"/>
      <c r="Y40" s="2"/>
      <c r="Z40" s="2"/>
    </row>
    <row r="41" ht="22.5" customHeight="1">
      <c r="A41" s="13">
        <v>39.0</v>
      </c>
      <c r="B41" s="23"/>
      <c r="C41" s="23"/>
      <c r="D41" s="31"/>
      <c r="E41" s="23"/>
      <c r="F41" s="23"/>
      <c r="G41" s="2"/>
      <c r="H41" s="2"/>
      <c r="I41" s="2"/>
      <c r="J41" s="2"/>
      <c r="K41" s="2"/>
      <c r="L41" s="2"/>
      <c r="M41" s="2"/>
      <c r="N41" s="2"/>
      <c r="O41" s="2"/>
      <c r="P41" s="2"/>
      <c r="Q41" s="2"/>
      <c r="R41" s="2"/>
      <c r="S41" s="2"/>
      <c r="T41" s="2"/>
      <c r="U41" s="2"/>
      <c r="V41" s="2"/>
      <c r="W41" s="2"/>
      <c r="X41" s="2"/>
      <c r="Y41" s="2"/>
      <c r="Z41" s="2"/>
    </row>
    <row r="42" ht="22.5" customHeight="1">
      <c r="A42" s="13">
        <v>40.0</v>
      </c>
      <c r="B42" s="23"/>
      <c r="C42" s="23"/>
      <c r="D42" s="31"/>
      <c r="E42" s="23"/>
      <c r="F42" s="23"/>
      <c r="G42" s="2"/>
      <c r="H42" s="2"/>
      <c r="I42" s="2"/>
      <c r="J42" s="2"/>
      <c r="K42" s="2"/>
      <c r="L42" s="2"/>
      <c r="M42" s="2"/>
      <c r="N42" s="2"/>
      <c r="O42" s="2"/>
      <c r="P42" s="2"/>
      <c r="Q42" s="2"/>
      <c r="R42" s="2"/>
      <c r="S42" s="2"/>
      <c r="T42" s="2"/>
      <c r="U42" s="2"/>
      <c r="V42" s="2"/>
      <c r="W42" s="2"/>
      <c r="X42" s="2"/>
      <c r="Y42" s="2"/>
      <c r="Z42" s="2"/>
    </row>
    <row r="43" ht="22.5" customHeight="1">
      <c r="A43" s="13">
        <v>41.0</v>
      </c>
      <c r="B43" s="23"/>
      <c r="C43" s="23"/>
      <c r="D43" s="31"/>
      <c r="E43" s="23"/>
      <c r="F43" s="23"/>
      <c r="G43" s="2"/>
      <c r="H43" s="2"/>
      <c r="I43" s="2"/>
      <c r="J43" s="2"/>
      <c r="K43" s="2"/>
      <c r="L43" s="2"/>
      <c r="M43" s="2"/>
      <c r="N43" s="2"/>
      <c r="O43" s="2"/>
      <c r="P43" s="2"/>
      <c r="Q43" s="2"/>
      <c r="R43" s="2"/>
      <c r="S43" s="2"/>
      <c r="T43" s="2"/>
      <c r="U43" s="2"/>
      <c r="V43" s="2"/>
      <c r="W43" s="2"/>
      <c r="X43" s="2"/>
      <c r="Y43" s="2"/>
      <c r="Z43" s="2"/>
    </row>
    <row r="44" ht="22.5" customHeight="1">
      <c r="A44" s="13">
        <v>42.0</v>
      </c>
      <c r="B44" s="23"/>
      <c r="C44" s="23"/>
      <c r="D44" s="31"/>
      <c r="E44" s="23"/>
      <c r="F44" s="23"/>
      <c r="G44" s="2"/>
      <c r="H44" s="2"/>
      <c r="I44" s="2"/>
      <c r="J44" s="2"/>
      <c r="K44" s="2"/>
      <c r="L44" s="2"/>
      <c r="M44" s="2"/>
      <c r="N44" s="2"/>
      <c r="O44" s="2"/>
      <c r="P44" s="2"/>
      <c r="Q44" s="2"/>
      <c r="R44" s="2"/>
      <c r="S44" s="2"/>
      <c r="T44" s="2"/>
      <c r="U44" s="2"/>
      <c r="V44" s="2"/>
      <c r="W44" s="2"/>
      <c r="X44" s="2"/>
      <c r="Y44" s="2"/>
      <c r="Z44" s="2"/>
    </row>
    <row r="45" ht="22.5" customHeight="1">
      <c r="A45" s="13">
        <v>43.0</v>
      </c>
      <c r="B45" s="23"/>
      <c r="C45" s="23"/>
      <c r="D45" s="31"/>
      <c r="E45" s="23"/>
      <c r="F45" s="23"/>
      <c r="G45" s="2"/>
      <c r="H45" s="2"/>
      <c r="I45" s="2"/>
      <c r="J45" s="2"/>
      <c r="K45" s="2"/>
      <c r="L45" s="2"/>
      <c r="M45" s="2"/>
      <c r="N45" s="2"/>
      <c r="O45" s="2"/>
      <c r="P45" s="2"/>
      <c r="Q45" s="2"/>
      <c r="R45" s="2"/>
      <c r="S45" s="2"/>
      <c r="T45" s="2"/>
      <c r="U45" s="2"/>
      <c r="V45" s="2"/>
      <c r="W45" s="2"/>
      <c r="X45" s="2"/>
      <c r="Y45" s="2"/>
      <c r="Z45" s="2"/>
    </row>
    <row r="46" ht="22.5" customHeight="1">
      <c r="A46" s="13">
        <v>44.0</v>
      </c>
      <c r="B46" s="23"/>
      <c r="C46" s="23"/>
      <c r="D46" s="31"/>
      <c r="E46" s="23"/>
      <c r="F46" s="23"/>
      <c r="G46" s="2"/>
      <c r="H46" s="2"/>
      <c r="I46" s="2"/>
      <c r="J46" s="2"/>
      <c r="K46" s="2"/>
      <c r="L46" s="2"/>
      <c r="M46" s="2"/>
      <c r="N46" s="2"/>
      <c r="O46" s="2"/>
      <c r="P46" s="2"/>
      <c r="Q46" s="2"/>
      <c r="R46" s="2"/>
      <c r="S46" s="2"/>
      <c r="T46" s="2"/>
      <c r="U46" s="2"/>
      <c r="V46" s="2"/>
      <c r="W46" s="2"/>
      <c r="X46" s="2"/>
      <c r="Y46" s="2"/>
      <c r="Z46" s="2"/>
    </row>
    <row r="47" ht="22.5" customHeight="1">
      <c r="A47" s="13">
        <v>45.0</v>
      </c>
      <c r="B47" s="23"/>
      <c r="C47" s="23"/>
      <c r="D47" s="31"/>
      <c r="E47" s="23"/>
      <c r="F47" s="23"/>
      <c r="G47" s="2"/>
      <c r="H47" s="2"/>
      <c r="I47" s="2"/>
      <c r="J47" s="2"/>
      <c r="K47" s="2"/>
      <c r="L47" s="2"/>
      <c r="M47" s="2"/>
      <c r="N47" s="2"/>
      <c r="O47" s="2"/>
      <c r="P47" s="2"/>
      <c r="Q47" s="2"/>
      <c r="R47" s="2"/>
      <c r="S47" s="2"/>
      <c r="T47" s="2"/>
      <c r="U47" s="2"/>
      <c r="V47" s="2"/>
      <c r="W47" s="2"/>
      <c r="X47" s="2"/>
      <c r="Y47" s="2"/>
      <c r="Z47" s="2"/>
    </row>
    <row r="48" ht="22.5" customHeight="1">
      <c r="A48" s="13">
        <v>46.0</v>
      </c>
      <c r="B48" s="23"/>
      <c r="C48" s="23"/>
      <c r="D48" s="31"/>
      <c r="E48" s="23"/>
      <c r="F48" s="23"/>
      <c r="G48" s="2"/>
      <c r="H48" s="2"/>
      <c r="I48" s="2"/>
      <c r="J48" s="2"/>
      <c r="K48" s="2"/>
      <c r="L48" s="2"/>
      <c r="M48" s="2"/>
      <c r="N48" s="2"/>
      <c r="O48" s="2"/>
      <c r="P48" s="2"/>
      <c r="Q48" s="2"/>
      <c r="R48" s="2"/>
      <c r="S48" s="2"/>
      <c r="T48" s="2"/>
      <c r="U48" s="2"/>
      <c r="V48" s="2"/>
      <c r="W48" s="2"/>
      <c r="X48" s="2"/>
      <c r="Y48" s="2"/>
      <c r="Z48" s="2"/>
    </row>
    <row r="49" ht="22.5" customHeight="1">
      <c r="A49" s="13">
        <v>47.0</v>
      </c>
      <c r="B49" s="23"/>
      <c r="C49" s="23"/>
      <c r="D49" s="31"/>
      <c r="E49" s="23"/>
      <c r="F49" s="23"/>
      <c r="G49" s="2"/>
      <c r="H49" s="2"/>
      <c r="I49" s="2"/>
      <c r="J49" s="2"/>
      <c r="K49" s="2"/>
      <c r="L49" s="2"/>
      <c r="M49" s="2"/>
      <c r="N49" s="2"/>
      <c r="O49" s="2"/>
      <c r="P49" s="2"/>
      <c r="Q49" s="2"/>
      <c r="R49" s="2"/>
      <c r="S49" s="2"/>
      <c r="T49" s="2"/>
      <c r="U49" s="2"/>
      <c r="V49" s="2"/>
      <c r="W49" s="2"/>
      <c r="X49" s="2"/>
      <c r="Y49" s="2"/>
      <c r="Z49" s="2"/>
    </row>
    <row r="50" ht="22.5" customHeight="1">
      <c r="A50" s="13">
        <v>48.0</v>
      </c>
      <c r="B50" s="23"/>
      <c r="C50" s="23"/>
      <c r="D50" s="31"/>
      <c r="E50" s="23"/>
      <c r="F50" s="23"/>
      <c r="G50" s="2"/>
      <c r="H50" s="2"/>
      <c r="I50" s="2"/>
      <c r="J50" s="2"/>
      <c r="K50" s="2"/>
      <c r="L50" s="2"/>
      <c r="M50" s="2"/>
      <c r="N50" s="2"/>
      <c r="O50" s="2"/>
      <c r="P50" s="2"/>
      <c r="Q50" s="2"/>
      <c r="R50" s="2"/>
      <c r="S50" s="2"/>
      <c r="T50" s="2"/>
      <c r="U50" s="2"/>
      <c r="V50" s="2"/>
      <c r="W50" s="2"/>
      <c r="X50" s="2"/>
      <c r="Y50" s="2"/>
      <c r="Z50" s="2"/>
    </row>
    <row r="51" ht="22.5" customHeight="1">
      <c r="A51" s="13">
        <v>49.0</v>
      </c>
      <c r="B51" s="23"/>
      <c r="C51" s="23"/>
      <c r="D51" s="31"/>
      <c r="E51" s="23"/>
      <c r="F51" s="23"/>
      <c r="G51" s="2"/>
      <c r="H51" s="2"/>
      <c r="I51" s="2"/>
      <c r="J51" s="2"/>
      <c r="K51" s="2"/>
      <c r="L51" s="2"/>
      <c r="M51" s="2"/>
      <c r="N51" s="2"/>
      <c r="O51" s="2"/>
      <c r="P51" s="2"/>
      <c r="Q51" s="2"/>
      <c r="R51" s="2"/>
      <c r="S51" s="2"/>
      <c r="T51" s="2"/>
      <c r="U51" s="2"/>
      <c r="V51" s="2"/>
      <c r="W51" s="2"/>
      <c r="X51" s="2"/>
      <c r="Y51" s="2"/>
      <c r="Z51" s="2"/>
    </row>
    <row r="52" ht="22.5" customHeight="1">
      <c r="A52" s="13">
        <v>50.0</v>
      </c>
      <c r="B52" s="23"/>
      <c r="C52" s="23"/>
      <c r="D52" s="31"/>
      <c r="E52" s="23"/>
      <c r="F52" s="23"/>
      <c r="G52" s="2"/>
      <c r="H52" s="2"/>
      <c r="I52" s="2"/>
      <c r="J52" s="2"/>
      <c r="K52" s="2"/>
      <c r="L52" s="2"/>
      <c r="M52" s="2"/>
      <c r="N52" s="2"/>
      <c r="O52" s="2"/>
      <c r="P52" s="2"/>
      <c r="Q52" s="2"/>
      <c r="R52" s="2"/>
      <c r="S52" s="2"/>
      <c r="T52" s="2"/>
      <c r="U52" s="2"/>
      <c r="V52" s="2"/>
      <c r="W52" s="2"/>
      <c r="X52" s="2"/>
      <c r="Y52" s="2"/>
      <c r="Z52" s="2"/>
    </row>
    <row r="53" ht="22.5" customHeight="1">
      <c r="A53" s="13">
        <v>51.0</v>
      </c>
      <c r="B53" s="23"/>
      <c r="C53" s="23"/>
      <c r="D53" s="31"/>
      <c r="E53" s="23"/>
      <c r="F53" s="23"/>
      <c r="G53" s="2"/>
      <c r="H53" s="2"/>
      <c r="I53" s="2"/>
      <c r="J53" s="2"/>
      <c r="K53" s="2"/>
      <c r="L53" s="2"/>
      <c r="M53" s="2"/>
      <c r="N53" s="2"/>
      <c r="O53" s="2"/>
      <c r="P53" s="2"/>
      <c r="Q53" s="2"/>
      <c r="R53" s="2"/>
      <c r="S53" s="2"/>
      <c r="T53" s="2"/>
      <c r="U53" s="2"/>
      <c r="V53" s="2"/>
      <c r="W53" s="2"/>
      <c r="X53" s="2"/>
      <c r="Y53" s="2"/>
      <c r="Z53" s="2"/>
    </row>
    <row r="54" ht="22.5" customHeight="1">
      <c r="A54" s="13">
        <v>52.0</v>
      </c>
      <c r="B54" s="23"/>
      <c r="C54" s="23"/>
      <c r="D54" s="31"/>
      <c r="E54" s="23"/>
      <c r="F54" s="23"/>
      <c r="G54" s="2"/>
      <c r="H54" s="2"/>
      <c r="I54" s="2"/>
      <c r="J54" s="2"/>
      <c r="K54" s="2"/>
      <c r="L54" s="2"/>
      <c r="M54" s="2"/>
      <c r="N54" s="2"/>
      <c r="O54" s="2"/>
      <c r="P54" s="2"/>
      <c r="Q54" s="2"/>
      <c r="R54" s="2"/>
      <c r="S54" s="2"/>
      <c r="T54" s="2"/>
      <c r="U54" s="2"/>
      <c r="V54" s="2"/>
      <c r="W54" s="2"/>
      <c r="X54" s="2"/>
      <c r="Y54" s="2"/>
      <c r="Z54" s="2"/>
    </row>
    <row r="55" ht="22.5" customHeight="1">
      <c r="A55" s="13">
        <v>53.0</v>
      </c>
      <c r="B55" s="23"/>
      <c r="C55" s="23"/>
      <c r="D55" s="31"/>
      <c r="E55" s="23"/>
      <c r="F55" s="23"/>
      <c r="G55" s="2"/>
      <c r="H55" s="2"/>
      <c r="I55" s="2"/>
      <c r="J55" s="2"/>
      <c r="K55" s="2"/>
      <c r="L55" s="2"/>
      <c r="M55" s="2"/>
      <c r="N55" s="2"/>
      <c r="O55" s="2"/>
      <c r="P55" s="2"/>
      <c r="Q55" s="2"/>
      <c r="R55" s="2"/>
      <c r="S55" s="2"/>
      <c r="T55" s="2"/>
      <c r="U55" s="2"/>
      <c r="V55" s="2"/>
      <c r="W55" s="2"/>
      <c r="X55" s="2"/>
      <c r="Y55" s="2"/>
      <c r="Z55" s="2"/>
    </row>
    <row r="56" ht="22.5" customHeight="1">
      <c r="A56" s="13">
        <v>54.0</v>
      </c>
      <c r="B56" s="23"/>
      <c r="C56" s="23"/>
      <c r="D56" s="31"/>
      <c r="E56" s="23"/>
      <c r="F56" s="23"/>
      <c r="G56" s="2"/>
      <c r="H56" s="2"/>
      <c r="I56" s="2"/>
      <c r="J56" s="2"/>
      <c r="K56" s="2"/>
      <c r="L56" s="2"/>
      <c r="M56" s="2"/>
      <c r="N56" s="2"/>
      <c r="O56" s="2"/>
      <c r="P56" s="2"/>
      <c r="Q56" s="2"/>
      <c r="R56" s="2"/>
      <c r="S56" s="2"/>
      <c r="T56" s="2"/>
      <c r="U56" s="2"/>
      <c r="V56" s="2"/>
      <c r="W56" s="2"/>
      <c r="X56" s="2"/>
      <c r="Y56" s="2"/>
      <c r="Z56" s="2"/>
    </row>
    <row r="57" ht="22.5" customHeight="1">
      <c r="A57" s="13">
        <v>55.0</v>
      </c>
      <c r="B57" s="23"/>
      <c r="C57" s="23"/>
      <c r="D57" s="31"/>
      <c r="E57" s="23"/>
      <c r="F57" s="23"/>
      <c r="G57" s="2"/>
      <c r="H57" s="2"/>
      <c r="I57" s="2"/>
      <c r="J57" s="2"/>
      <c r="K57" s="2"/>
      <c r="L57" s="2"/>
      <c r="M57" s="2"/>
      <c r="N57" s="2"/>
      <c r="O57" s="2"/>
      <c r="P57" s="2"/>
      <c r="Q57" s="2"/>
      <c r="R57" s="2"/>
      <c r="S57" s="2"/>
      <c r="T57" s="2"/>
      <c r="U57" s="2"/>
      <c r="V57" s="2"/>
      <c r="W57" s="2"/>
      <c r="X57" s="2"/>
      <c r="Y57" s="2"/>
      <c r="Z57" s="2"/>
    </row>
    <row r="58" ht="22.5" customHeight="1">
      <c r="A58" s="13">
        <v>56.0</v>
      </c>
      <c r="B58" s="23"/>
      <c r="C58" s="23"/>
      <c r="D58" s="31"/>
      <c r="E58" s="23"/>
      <c r="F58" s="23"/>
      <c r="G58" s="2"/>
      <c r="H58" s="2"/>
      <c r="I58" s="2"/>
      <c r="J58" s="2"/>
      <c r="K58" s="2"/>
      <c r="L58" s="2"/>
      <c r="M58" s="2"/>
      <c r="N58" s="2"/>
      <c r="O58" s="2"/>
      <c r="P58" s="2"/>
      <c r="Q58" s="2"/>
      <c r="R58" s="2"/>
      <c r="S58" s="2"/>
      <c r="T58" s="2"/>
      <c r="U58" s="2"/>
      <c r="V58" s="2"/>
      <c r="W58" s="2"/>
      <c r="X58" s="2"/>
      <c r="Y58" s="2"/>
      <c r="Z58" s="2"/>
    </row>
    <row r="59" ht="22.5" customHeight="1">
      <c r="A59" s="13">
        <v>57.0</v>
      </c>
      <c r="B59" s="23"/>
      <c r="C59" s="23"/>
      <c r="D59" s="31"/>
      <c r="E59" s="23"/>
      <c r="F59" s="23"/>
      <c r="G59" s="2"/>
      <c r="H59" s="2"/>
      <c r="I59" s="2"/>
      <c r="J59" s="2"/>
      <c r="K59" s="2"/>
      <c r="L59" s="2"/>
      <c r="M59" s="2"/>
      <c r="N59" s="2"/>
      <c r="O59" s="2"/>
      <c r="P59" s="2"/>
      <c r="Q59" s="2"/>
      <c r="R59" s="2"/>
      <c r="S59" s="2"/>
      <c r="T59" s="2"/>
      <c r="U59" s="2"/>
      <c r="V59" s="2"/>
      <c r="W59" s="2"/>
      <c r="X59" s="2"/>
      <c r="Y59" s="2"/>
      <c r="Z59" s="2"/>
    </row>
    <row r="60" ht="22.5" customHeight="1">
      <c r="A60" s="13">
        <v>58.0</v>
      </c>
      <c r="B60" s="23"/>
      <c r="C60" s="23"/>
      <c r="D60" s="31"/>
      <c r="E60" s="23"/>
      <c r="F60" s="23"/>
      <c r="G60" s="2"/>
      <c r="H60" s="2"/>
      <c r="I60" s="2"/>
      <c r="J60" s="2"/>
      <c r="K60" s="2"/>
      <c r="L60" s="2"/>
      <c r="M60" s="2"/>
      <c r="N60" s="2"/>
      <c r="O60" s="2"/>
      <c r="P60" s="2"/>
      <c r="Q60" s="2"/>
      <c r="R60" s="2"/>
      <c r="S60" s="2"/>
      <c r="T60" s="2"/>
      <c r="U60" s="2"/>
      <c r="V60" s="2"/>
      <c r="W60" s="2"/>
      <c r="X60" s="2"/>
      <c r="Y60" s="2"/>
      <c r="Z60" s="2"/>
    </row>
    <row r="61" ht="22.5" customHeight="1">
      <c r="A61" s="13">
        <v>59.0</v>
      </c>
      <c r="B61" s="23"/>
      <c r="C61" s="23"/>
      <c r="D61" s="31"/>
      <c r="E61" s="23"/>
      <c r="F61" s="23"/>
      <c r="G61" s="2"/>
      <c r="H61" s="2"/>
      <c r="I61" s="2"/>
      <c r="J61" s="2"/>
      <c r="K61" s="2"/>
      <c r="L61" s="2"/>
      <c r="M61" s="2"/>
      <c r="N61" s="2"/>
      <c r="O61" s="2"/>
      <c r="P61" s="2"/>
      <c r="Q61" s="2"/>
      <c r="R61" s="2"/>
      <c r="S61" s="2"/>
      <c r="T61" s="2"/>
      <c r="U61" s="2"/>
      <c r="V61" s="2"/>
      <c r="W61" s="2"/>
      <c r="X61" s="2"/>
      <c r="Y61" s="2"/>
      <c r="Z61" s="2"/>
    </row>
    <row r="62" ht="22.5" customHeight="1">
      <c r="A62" s="13">
        <v>60.0</v>
      </c>
      <c r="B62" s="23"/>
      <c r="C62" s="23"/>
      <c r="D62" s="31"/>
      <c r="E62" s="23"/>
      <c r="F62" s="23"/>
      <c r="G62" s="2"/>
      <c r="H62" s="2"/>
      <c r="I62" s="2"/>
      <c r="J62" s="2"/>
      <c r="K62" s="2"/>
      <c r="L62" s="2"/>
      <c r="M62" s="2"/>
      <c r="N62" s="2"/>
      <c r="O62" s="2"/>
      <c r="P62" s="2"/>
      <c r="Q62" s="2"/>
      <c r="R62" s="2"/>
      <c r="S62" s="2"/>
      <c r="T62" s="2"/>
      <c r="U62" s="2"/>
      <c r="V62" s="2"/>
      <c r="W62" s="2"/>
      <c r="X62" s="2"/>
      <c r="Y62" s="2"/>
      <c r="Z62" s="2"/>
    </row>
    <row r="63" ht="22.5" customHeight="1">
      <c r="A63" s="13">
        <v>61.0</v>
      </c>
      <c r="B63" s="23"/>
      <c r="C63" s="23"/>
      <c r="D63" s="31"/>
      <c r="E63" s="23"/>
      <c r="F63" s="23"/>
      <c r="G63" s="2"/>
      <c r="H63" s="2"/>
      <c r="I63" s="2"/>
      <c r="J63" s="2"/>
      <c r="K63" s="2"/>
      <c r="L63" s="2"/>
      <c r="M63" s="2"/>
      <c r="N63" s="2"/>
      <c r="O63" s="2"/>
      <c r="P63" s="2"/>
      <c r="Q63" s="2"/>
      <c r="R63" s="2"/>
      <c r="S63" s="2"/>
      <c r="T63" s="2"/>
      <c r="U63" s="2"/>
      <c r="V63" s="2"/>
      <c r="W63" s="2"/>
      <c r="X63" s="2"/>
      <c r="Y63" s="2"/>
      <c r="Z63" s="2"/>
    </row>
    <row r="64" ht="22.5" customHeight="1">
      <c r="A64" s="13">
        <v>62.0</v>
      </c>
      <c r="B64" s="23"/>
      <c r="C64" s="23"/>
      <c r="D64" s="31"/>
      <c r="E64" s="23"/>
      <c r="F64" s="23"/>
      <c r="G64" s="2"/>
      <c r="H64" s="2"/>
      <c r="I64" s="2"/>
      <c r="J64" s="2"/>
      <c r="K64" s="2"/>
      <c r="L64" s="2"/>
      <c r="M64" s="2"/>
      <c r="N64" s="2"/>
      <c r="O64" s="2"/>
      <c r="P64" s="2"/>
      <c r="Q64" s="2"/>
      <c r="R64" s="2"/>
      <c r="S64" s="2"/>
      <c r="T64" s="2"/>
      <c r="U64" s="2"/>
      <c r="V64" s="2"/>
      <c r="W64" s="2"/>
      <c r="X64" s="2"/>
      <c r="Y64" s="2"/>
      <c r="Z64" s="2"/>
    </row>
    <row r="65" ht="22.5" customHeight="1">
      <c r="A65" s="13">
        <v>63.0</v>
      </c>
      <c r="B65" s="23"/>
      <c r="C65" s="23"/>
      <c r="D65" s="31"/>
      <c r="E65" s="23"/>
      <c r="F65" s="23"/>
      <c r="G65" s="2"/>
      <c r="H65" s="2"/>
      <c r="I65" s="2"/>
      <c r="J65" s="2"/>
      <c r="K65" s="2"/>
      <c r="L65" s="2"/>
      <c r="M65" s="2"/>
      <c r="N65" s="2"/>
      <c r="O65" s="2"/>
      <c r="P65" s="2"/>
      <c r="Q65" s="2"/>
      <c r="R65" s="2"/>
      <c r="S65" s="2"/>
      <c r="T65" s="2"/>
      <c r="U65" s="2"/>
      <c r="V65" s="2"/>
      <c r="W65" s="2"/>
      <c r="X65" s="2"/>
      <c r="Y65" s="2"/>
      <c r="Z65" s="2"/>
    </row>
    <row r="66" ht="22.5" customHeight="1">
      <c r="A66" s="13">
        <v>64.0</v>
      </c>
      <c r="B66" s="23"/>
      <c r="C66" s="23"/>
      <c r="D66" s="31"/>
      <c r="E66" s="23"/>
      <c r="F66" s="23"/>
      <c r="G66" s="2"/>
      <c r="H66" s="2"/>
      <c r="I66" s="2"/>
      <c r="J66" s="2"/>
      <c r="K66" s="2"/>
      <c r="L66" s="2"/>
      <c r="M66" s="2"/>
      <c r="N66" s="2"/>
      <c r="O66" s="2"/>
      <c r="P66" s="2"/>
      <c r="Q66" s="2"/>
      <c r="R66" s="2"/>
      <c r="S66" s="2"/>
      <c r="T66" s="2"/>
      <c r="U66" s="2"/>
      <c r="V66" s="2"/>
      <c r="W66" s="2"/>
      <c r="X66" s="2"/>
      <c r="Y66" s="2"/>
      <c r="Z66" s="2"/>
    </row>
    <row r="67" ht="22.5" customHeight="1">
      <c r="A67" s="13">
        <v>65.0</v>
      </c>
      <c r="B67" s="23"/>
      <c r="C67" s="23"/>
      <c r="D67" s="31"/>
      <c r="E67" s="23"/>
      <c r="F67" s="23"/>
      <c r="G67" s="2"/>
      <c r="H67" s="2"/>
      <c r="I67" s="2"/>
      <c r="J67" s="2"/>
      <c r="K67" s="2"/>
      <c r="L67" s="2"/>
      <c r="M67" s="2"/>
      <c r="N67" s="2"/>
      <c r="O67" s="2"/>
      <c r="P67" s="2"/>
      <c r="Q67" s="2"/>
      <c r="R67" s="2"/>
      <c r="S67" s="2"/>
      <c r="T67" s="2"/>
      <c r="U67" s="2"/>
      <c r="V67" s="2"/>
      <c r="W67" s="2"/>
      <c r="X67" s="2"/>
      <c r="Y67" s="2"/>
      <c r="Z67" s="2"/>
    </row>
    <row r="68" ht="22.5" customHeight="1">
      <c r="A68" s="13">
        <v>66.0</v>
      </c>
      <c r="B68" s="23"/>
      <c r="C68" s="23"/>
      <c r="D68" s="31"/>
      <c r="E68" s="23"/>
      <c r="F68" s="23"/>
      <c r="G68" s="2"/>
      <c r="H68" s="2"/>
      <c r="I68" s="2"/>
      <c r="J68" s="2"/>
      <c r="K68" s="2"/>
      <c r="L68" s="2"/>
      <c r="M68" s="2"/>
      <c r="N68" s="2"/>
      <c r="O68" s="2"/>
      <c r="P68" s="2"/>
      <c r="Q68" s="2"/>
      <c r="R68" s="2"/>
      <c r="S68" s="2"/>
      <c r="T68" s="2"/>
      <c r="U68" s="2"/>
      <c r="V68" s="2"/>
      <c r="W68" s="2"/>
      <c r="X68" s="2"/>
      <c r="Y68" s="2"/>
      <c r="Z68" s="2"/>
    </row>
    <row r="69" ht="22.5" customHeight="1">
      <c r="A69" s="13">
        <v>67.0</v>
      </c>
      <c r="B69" s="23"/>
      <c r="C69" s="23"/>
      <c r="D69" s="31"/>
      <c r="E69" s="23"/>
      <c r="F69" s="23"/>
      <c r="G69" s="2"/>
      <c r="H69" s="2"/>
      <c r="I69" s="2"/>
      <c r="J69" s="2"/>
      <c r="K69" s="2"/>
      <c r="L69" s="2"/>
      <c r="M69" s="2"/>
      <c r="N69" s="2"/>
      <c r="O69" s="2"/>
      <c r="P69" s="2"/>
      <c r="Q69" s="2"/>
      <c r="R69" s="2"/>
      <c r="S69" s="2"/>
      <c r="T69" s="2"/>
      <c r="U69" s="2"/>
      <c r="V69" s="2"/>
      <c r="W69" s="2"/>
      <c r="X69" s="2"/>
      <c r="Y69" s="2"/>
      <c r="Z69" s="2"/>
    </row>
    <row r="70" ht="22.5" customHeight="1">
      <c r="A70" s="13">
        <v>68.0</v>
      </c>
      <c r="B70" s="23"/>
      <c r="C70" s="23"/>
      <c r="D70" s="31"/>
      <c r="E70" s="23"/>
      <c r="F70" s="23"/>
      <c r="G70" s="2"/>
      <c r="H70" s="2"/>
      <c r="I70" s="2"/>
      <c r="J70" s="2"/>
      <c r="K70" s="2"/>
      <c r="L70" s="2"/>
      <c r="M70" s="2"/>
      <c r="N70" s="2"/>
      <c r="O70" s="2"/>
      <c r="P70" s="2"/>
      <c r="Q70" s="2"/>
      <c r="R70" s="2"/>
      <c r="S70" s="2"/>
      <c r="T70" s="2"/>
      <c r="U70" s="2"/>
      <c r="V70" s="2"/>
      <c r="W70" s="2"/>
      <c r="X70" s="2"/>
      <c r="Y70" s="2"/>
      <c r="Z70" s="2"/>
    </row>
    <row r="71" ht="22.5" customHeight="1">
      <c r="A71" s="13">
        <v>69.0</v>
      </c>
      <c r="B71" s="23"/>
      <c r="C71" s="23"/>
      <c r="D71" s="31"/>
      <c r="E71" s="23"/>
      <c r="F71" s="23"/>
      <c r="G71" s="2"/>
      <c r="H71" s="2"/>
      <c r="I71" s="2"/>
      <c r="J71" s="2"/>
      <c r="K71" s="2"/>
      <c r="L71" s="2"/>
      <c r="M71" s="2"/>
      <c r="N71" s="2"/>
      <c r="O71" s="2"/>
      <c r="P71" s="2"/>
      <c r="Q71" s="2"/>
      <c r="R71" s="2"/>
      <c r="S71" s="2"/>
      <c r="T71" s="2"/>
      <c r="U71" s="2"/>
      <c r="V71" s="2"/>
      <c r="W71" s="2"/>
      <c r="X71" s="2"/>
      <c r="Y71" s="2"/>
      <c r="Z71" s="2"/>
    </row>
    <row r="72" ht="22.5" customHeight="1">
      <c r="A72" s="13">
        <v>70.0</v>
      </c>
      <c r="B72" s="23"/>
      <c r="C72" s="23"/>
      <c r="D72" s="31"/>
      <c r="E72" s="23"/>
      <c r="F72" s="23"/>
      <c r="G72" s="2"/>
      <c r="H72" s="2"/>
      <c r="I72" s="2"/>
      <c r="J72" s="2"/>
      <c r="K72" s="2"/>
      <c r="L72" s="2"/>
      <c r="M72" s="2"/>
      <c r="N72" s="2"/>
      <c r="O72" s="2"/>
      <c r="P72" s="2"/>
      <c r="Q72" s="2"/>
      <c r="R72" s="2"/>
      <c r="S72" s="2"/>
      <c r="T72" s="2"/>
      <c r="U72" s="2"/>
      <c r="V72" s="2"/>
      <c r="W72" s="2"/>
      <c r="X72" s="2"/>
      <c r="Y72" s="2"/>
      <c r="Z72" s="2"/>
    </row>
    <row r="73" ht="22.5" customHeight="1">
      <c r="A73" s="13">
        <v>71.0</v>
      </c>
      <c r="B73" s="23"/>
      <c r="C73" s="23"/>
      <c r="D73" s="31"/>
      <c r="E73" s="23"/>
      <c r="F73" s="23"/>
      <c r="G73" s="2"/>
      <c r="H73" s="2"/>
      <c r="I73" s="2"/>
      <c r="J73" s="2"/>
      <c r="K73" s="2"/>
      <c r="L73" s="2"/>
      <c r="M73" s="2"/>
      <c r="N73" s="2"/>
      <c r="O73" s="2"/>
      <c r="P73" s="2"/>
      <c r="Q73" s="2"/>
      <c r="R73" s="2"/>
      <c r="S73" s="2"/>
      <c r="T73" s="2"/>
      <c r="U73" s="2"/>
      <c r="V73" s="2"/>
      <c r="W73" s="2"/>
      <c r="X73" s="2"/>
      <c r="Y73" s="2"/>
      <c r="Z73" s="2"/>
    </row>
    <row r="74" ht="22.5" customHeight="1">
      <c r="A74" s="13">
        <v>72.0</v>
      </c>
      <c r="B74" s="23"/>
      <c r="C74" s="23"/>
      <c r="D74" s="31"/>
      <c r="E74" s="23"/>
      <c r="F74" s="23"/>
      <c r="G74" s="2"/>
      <c r="H74" s="2"/>
      <c r="I74" s="2"/>
      <c r="J74" s="2"/>
      <c r="K74" s="2"/>
      <c r="L74" s="2"/>
      <c r="M74" s="2"/>
      <c r="N74" s="2"/>
      <c r="O74" s="2"/>
      <c r="P74" s="2"/>
      <c r="Q74" s="2"/>
      <c r="R74" s="2"/>
      <c r="S74" s="2"/>
      <c r="T74" s="2"/>
      <c r="U74" s="2"/>
      <c r="V74" s="2"/>
      <c r="W74" s="2"/>
      <c r="X74" s="2"/>
      <c r="Y74" s="2"/>
      <c r="Z74" s="2"/>
    </row>
    <row r="75" ht="22.5" customHeight="1">
      <c r="A75" s="13">
        <v>73.0</v>
      </c>
      <c r="B75" s="23"/>
      <c r="C75" s="23"/>
      <c r="D75" s="31"/>
      <c r="E75" s="23"/>
      <c r="F75" s="23"/>
      <c r="G75" s="2"/>
      <c r="H75" s="2"/>
      <c r="I75" s="2"/>
      <c r="J75" s="2"/>
      <c r="K75" s="2"/>
      <c r="L75" s="2"/>
      <c r="M75" s="2"/>
      <c r="N75" s="2"/>
      <c r="O75" s="2"/>
      <c r="P75" s="2"/>
      <c r="Q75" s="2"/>
      <c r="R75" s="2"/>
      <c r="S75" s="2"/>
      <c r="T75" s="2"/>
      <c r="U75" s="2"/>
      <c r="V75" s="2"/>
      <c r="W75" s="2"/>
      <c r="X75" s="2"/>
      <c r="Y75" s="2"/>
      <c r="Z75" s="2"/>
    </row>
    <row r="76" ht="22.5" customHeight="1">
      <c r="A76" s="13">
        <v>74.0</v>
      </c>
      <c r="B76" s="23"/>
      <c r="C76" s="23"/>
      <c r="D76" s="31"/>
      <c r="E76" s="23"/>
      <c r="F76" s="23"/>
      <c r="G76" s="2"/>
      <c r="H76" s="2"/>
      <c r="I76" s="2"/>
      <c r="J76" s="2"/>
      <c r="K76" s="2"/>
      <c r="L76" s="2"/>
      <c r="M76" s="2"/>
      <c r="N76" s="2"/>
      <c r="O76" s="2"/>
      <c r="P76" s="2"/>
      <c r="Q76" s="2"/>
      <c r="R76" s="2"/>
      <c r="S76" s="2"/>
      <c r="T76" s="2"/>
      <c r="U76" s="2"/>
      <c r="V76" s="2"/>
      <c r="W76" s="2"/>
      <c r="X76" s="2"/>
      <c r="Y76" s="2"/>
      <c r="Z76" s="2"/>
    </row>
    <row r="77" ht="22.5" customHeight="1">
      <c r="A77" s="13">
        <v>75.0</v>
      </c>
      <c r="B77" s="23"/>
      <c r="C77" s="23"/>
      <c r="D77" s="31"/>
      <c r="E77" s="23"/>
      <c r="F77" s="23"/>
      <c r="G77" s="2"/>
      <c r="H77" s="2"/>
      <c r="I77" s="2"/>
      <c r="J77" s="2"/>
      <c r="K77" s="2"/>
      <c r="L77" s="2"/>
      <c r="M77" s="2"/>
      <c r="N77" s="2"/>
      <c r="O77" s="2"/>
      <c r="P77" s="2"/>
      <c r="Q77" s="2"/>
      <c r="R77" s="2"/>
      <c r="S77" s="2"/>
      <c r="T77" s="2"/>
      <c r="U77" s="2"/>
      <c r="V77" s="2"/>
      <c r="W77" s="2"/>
      <c r="X77" s="2"/>
      <c r="Y77" s="2"/>
      <c r="Z77" s="2"/>
    </row>
    <row r="78" ht="22.5" customHeight="1">
      <c r="A78" s="13">
        <v>76.0</v>
      </c>
      <c r="B78" s="23"/>
      <c r="C78" s="23"/>
      <c r="D78" s="31"/>
      <c r="E78" s="23"/>
      <c r="F78" s="23"/>
      <c r="G78" s="2"/>
      <c r="H78" s="2"/>
      <c r="I78" s="2"/>
      <c r="J78" s="2"/>
      <c r="K78" s="2"/>
      <c r="L78" s="2"/>
      <c r="M78" s="2"/>
      <c r="N78" s="2"/>
      <c r="O78" s="2"/>
      <c r="P78" s="2"/>
      <c r="Q78" s="2"/>
      <c r="R78" s="2"/>
      <c r="S78" s="2"/>
      <c r="T78" s="2"/>
      <c r="U78" s="2"/>
      <c r="V78" s="2"/>
      <c r="W78" s="2"/>
      <c r="X78" s="2"/>
      <c r="Y78" s="2"/>
      <c r="Z78" s="2"/>
    </row>
    <row r="79" ht="22.5" customHeight="1">
      <c r="A79" s="13">
        <v>77.0</v>
      </c>
      <c r="B79" s="23"/>
      <c r="C79" s="23"/>
      <c r="D79" s="31"/>
      <c r="E79" s="23"/>
      <c r="F79" s="23"/>
      <c r="G79" s="2"/>
      <c r="H79" s="2"/>
      <c r="I79" s="2"/>
      <c r="J79" s="2"/>
      <c r="K79" s="2"/>
      <c r="L79" s="2"/>
      <c r="M79" s="2"/>
      <c r="N79" s="2"/>
      <c r="O79" s="2"/>
      <c r="P79" s="2"/>
      <c r="Q79" s="2"/>
      <c r="R79" s="2"/>
      <c r="S79" s="2"/>
      <c r="T79" s="2"/>
      <c r="U79" s="2"/>
      <c r="V79" s="2"/>
      <c r="W79" s="2"/>
      <c r="X79" s="2"/>
      <c r="Y79" s="2"/>
      <c r="Z79" s="2"/>
    </row>
    <row r="80" ht="22.5" customHeight="1">
      <c r="A80" s="13">
        <v>78.0</v>
      </c>
      <c r="B80" s="23"/>
      <c r="C80" s="23"/>
      <c r="D80" s="31"/>
      <c r="E80" s="23"/>
      <c r="F80" s="23"/>
      <c r="G80" s="2"/>
      <c r="H80" s="2"/>
      <c r="I80" s="2"/>
      <c r="J80" s="2"/>
      <c r="K80" s="2"/>
      <c r="L80" s="2"/>
      <c r="M80" s="2"/>
      <c r="N80" s="2"/>
      <c r="O80" s="2"/>
      <c r="P80" s="2"/>
      <c r="Q80" s="2"/>
      <c r="R80" s="2"/>
      <c r="S80" s="2"/>
      <c r="T80" s="2"/>
      <c r="U80" s="2"/>
      <c r="V80" s="2"/>
      <c r="W80" s="2"/>
      <c r="X80" s="2"/>
      <c r="Y80" s="2"/>
      <c r="Z80" s="2"/>
    </row>
    <row r="81" ht="22.5" customHeight="1">
      <c r="A81" s="13">
        <v>79.0</v>
      </c>
      <c r="B81" s="23"/>
      <c r="C81" s="23"/>
      <c r="D81" s="31"/>
      <c r="E81" s="23"/>
      <c r="F81" s="23"/>
      <c r="G81" s="2"/>
      <c r="H81" s="2"/>
      <c r="I81" s="2"/>
      <c r="J81" s="2"/>
      <c r="K81" s="2"/>
      <c r="L81" s="2"/>
      <c r="M81" s="2"/>
      <c r="N81" s="2"/>
      <c r="O81" s="2"/>
      <c r="P81" s="2"/>
      <c r="Q81" s="2"/>
      <c r="R81" s="2"/>
      <c r="S81" s="2"/>
      <c r="T81" s="2"/>
      <c r="U81" s="2"/>
      <c r="V81" s="2"/>
      <c r="W81" s="2"/>
      <c r="X81" s="2"/>
      <c r="Y81" s="2"/>
      <c r="Z81" s="2"/>
    </row>
    <row r="82" ht="22.5" customHeight="1">
      <c r="A82" s="13">
        <v>80.0</v>
      </c>
      <c r="B82" s="23"/>
      <c r="C82" s="23"/>
      <c r="D82" s="31"/>
      <c r="E82" s="23"/>
      <c r="F82" s="23"/>
      <c r="G82" s="2"/>
      <c r="H82" s="2"/>
      <c r="I82" s="2"/>
      <c r="J82" s="2"/>
      <c r="K82" s="2"/>
      <c r="L82" s="2"/>
      <c r="M82" s="2"/>
      <c r="N82" s="2"/>
      <c r="O82" s="2"/>
      <c r="P82" s="2"/>
      <c r="Q82" s="2"/>
      <c r="R82" s="2"/>
      <c r="S82" s="2"/>
      <c r="T82" s="2"/>
      <c r="U82" s="2"/>
      <c r="V82" s="2"/>
      <c r="W82" s="2"/>
      <c r="X82" s="2"/>
      <c r="Y82" s="2"/>
      <c r="Z82" s="2"/>
    </row>
    <row r="83" ht="22.5" customHeight="1">
      <c r="A83" s="13">
        <v>81.0</v>
      </c>
      <c r="B83" s="23"/>
      <c r="C83" s="23"/>
      <c r="D83" s="31"/>
      <c r="E83" s="23"/>
      <c r="F83" s="23"/>
      <c r="G83" s="2"/>
      <c r="H83" s="2"/>
      <c r="I83" s="2"/>
      <c r="J83" s="2"/>
      <c r="K83" s="2"/>
      <c r="L83" s="2"/>
      <c r="M83" s="2"/>
      <c r="N83" s="2"/>
      <c r="O83" s="2"/>
      <c r="P83" s="2"/>
      <c r="Q83" s="2"/>
      <c r="R83" s="2"/>
      <c r="S83" s="2"/>
      <c r="T83" s="2"/>
      <c r="U83" s="2"/>
      <c r="V83" s="2"/>
      <c r="W83" s="2"/>
      <c r="X83" s="2"/>
      <c r="Y83" s="2"/>
      <c r="Z83" s="2"/>
    </row>
    <row r="84" ht="22.5" customHeight="1">
      <c r="A84" s="13">
        <v>82.0</v>
      </c>
      <c r="B84" s="23"/>
      <c r="C84" s="23"/>
      <c r="D84" s="31"/>
      <c r="E84" s="23"/>
      <c r="F84" s="23"/>
      <c r="G84" s="2"/>
      <c r="H84" s="2"/>
      <c r="I84" s="2"/>
      <c r="J84" s="2"/>
      <c r="K84" s="2"/>
      <c r="L84" s="2"/>
      <c r="M84" s="2"/>
      <c r="N84" s="2"/>
      <c r="O84" s="2"/>
      <c r="P84" s="2"/>
      <c r="Q84" s="2"/>
      <c r="R84" s="2"/>
      <c r="S84" s="2"/>
      <c r="T84" s="2"/>
      <c r="U84" s="2"/>
      <c r="V84" s="2"/>
      <c r="W84" s="2"/>
      <c r="X84" s="2"/>
      <c r="Y84" s="2"/>
      <c r="Z84" s="2"/>
    </row>
    <row r="85" ht="22.5" customHeight="1">
      <c r="A85" s="13">
        <v>83.0</v>
      </c>
      <c r="B85" s="23"/>
      <c r="C85" s="23"/>
      <c r="D85" s="31"/>
      <c r="E85" s="23"/>
      <c r="F85" s="23"/>
      <c r="G85" s="2"/>
      <c r="H85" s="2"/>
      <c r="I85" s="2"/>
      <c r="J85" s="2"/>
      <c r="K85" s="2"/>
      <c r="L85" s="2"/>
      <c r="M85" s="2"/>
      <c r="N85" s="2"/>
      <c r="O85" s="2"/>
      <c r="P85" s="2"/>
      <c r="Q85" s="2"/>
      <c r="R85" s="2"/>
      <c r="S85" s="2"/>
      <c r="T85" s="2"/>
      <c r="U85" s="2"/>
      <c r="V85" s="2"/>
      <c r="W85" s="2"/>
      <c r="X85" s="2"/>
      <c r="Y85" s="2"/>
      <c r="Z85" s="2"/>
    </row>
    <row r="86" ht="22.5" customHeight="1">
      <c r="A86" s="13">
        <v>84.0</v>
      </c>
      <c r="B86" s="23"/>
      <c r="C86" s="23"/>
      <c r="D86" s="31"/>
      <c r="E86" s="23"/>
      <c r="F86" s="23"/>
      <c r="G86" s="2"/>
      <c r="H86" s="2"/>
      <c r="I86" s="2"/>
      <c r="J86" s="2"/>
      <c r="K86" s="2"/>
      <c r="L86" s="2"/>
      <c r="M86" s="2"/>
      <c r="N86" s="2"/>
      <c r="O86" s="2"/>
      <c r="P86" s="2"/>
      <c r="Q86" s="2"/>
      <c r="R86" s="2"/>
      <c r="S86" s="2"/>
      <c r="T86" s="2"/>
      <c r="U86" s="2"/>
      <c r="V86" s="2"/>
      <c r="W86" s="2"/>
      <c r="X86" s="2"/>
      <c r="Y86" s="2"/>
      <c r="Z86" s="2"/>
    </row>
    <row r="87" ht="22.5" customHeight="1">
      <c r="A87" s="13">
        <v>85.0</v>
      </c>
      <c r="B87" s="23"/>
      <c r="C87" s="23"/>
      <c r="D87" s="31"/>
      <c r="E87" s="23"/>
      <c r="F87" s="23"/>
      <c r="G87" s="2"/>
      <c r="H87" s="2"/>
      <c r="I87" s="2"/>
      <c r="J87" s="2"/>
      <c r="K87" s="2"/>
      <c r="L87" s="2"/>
      <c r="M87" s="2"/>
      <c r="N87" s="2"/>
      <c r="O87" s="2"/>
      <c r="P87" s="2"/>
      <c r="Q87" s="2"/>
      <c r="R87" s="2"/>
      <c r="S87" s="2"/>
      <c r="T87" s="2"/>
      <c r="U87" s="2"/>
      <c r="V87" s="2"/>
      <c r="W87" s="2"/>
      <c r="X87" s="2"/>
      <c r="Y87" s="2"/>
      <c r="Z87" s="2"/>
    </row>
    <row r="88" ht="22.5" customHeight="1">
      <c r="A88" s="13">
        <v>86.0</v>
      </c>
      <c r="B88" s="23"/>
      <c r="C88" s="23"/>
      <c r="D88" s="31"/>
      <c r="E88" s="23"/>
      <c r="F88" s="23"/>
      <c r="G88" s="2"/>
      <c r="H88" s="2"/>
      <c r="I88" s="2"/>
      <c r="J88" s="2"/>
      <c r="K88" s="2"/>
      <c r="L88" s="2"/>
      <c r="M88" s="2"/>
      <c r="N88" s="2"/>
      <c r="O88" s="2"/>
      <c r="P88" s="2"/>
      <c r="Q88" s="2"/>
      <c r="R88" s="2"/>
      <c r="S88" s="2"/>
      <c r="T88" s="2"/>
      <c r="U88" s="2"/>
      <c r="V88" s="2"/>
      <c r="W88" s="2"/>
      <c r="X88" s="2"/>
      <c r="Y88" s="2"/>
      <c r="Z88" s="2"/>
    </row>
    <row r="89" ht="22.5" customHeight="1">
      <c r="A89" s="13">
        <v>87.0</v>
      </c>
      <c r="B89" s="23"/>
      <c r="C89" s="23"/>
      <c r="D89" s="31"/>
      <c r="E89" s="23"/>
      <c r="F89" s="23"/>
      <c r="G89" s="2"/>
      <c r="H89" s="2"/>
      <c r="I89" s="2"/>
      <c r="J89" s="2"/>
      <c r="K89" s="2"/>
      <c r="L89" s="2"/>
      <c r="M89" s="2"/>
      <c r="N89" s="2"/>
      <c r="O89" s="2"/>
      <c r="P89" s="2"/>
      <c r="Q89" s="2"/>
      <c r="R89" s="2"/>
      <c r="S89" s="2"/>
      <c r="T89" s="2"/>
      <c r="U89" s="2"/>
      <c r="V89" s="2"/>
      <c r="W89" s="2"/>
      <c r="X89" s="2"/>
      <c r="Y89" s="2"/>
      <c r="Z89" s="2"/>
    </row>
    <row r="90" ht="22.5" customHeight="1">
      <c r="A90" s="13">
        <v>88.0</v>
      </c>
      <c r="B90" s="23"/>
      <c r="C90" s="23"/>
      <c r="D90" s="31"/>
      <c r="E90" s="23"/>
      <c r="F90" s="23"/>
      <c r="G90" s="2"/>
      <c r="H90" s="2"/>
      <c r="I90" s="2"/>
      <c r="J90" s="2"/>
      <c r="K90" s="2"/>
      <c r="L90" s="2"/>
      <c r="M90" s="2"/>
      <c r="N90" s="2"/>
      <c r="O90" s="2"/>
      <c r="P90" s="2"/>
      <c r="Q90" s="2"/>
      <c r="R90" s="2"/>
      <c r="S90" s="2"/>
      <c r="T90" s="2"/>
      <c r="U90" s="2"/>
      <c r="V90" s="2"/>
      <c r="W90" s="2"/>
      <c r="X90" s="2"/>
      <c r="Y90" s="2"/>
      <c r="Z90" s="2"/>
    </row>
    <row r="91" ht="22.5" customHeight="1">
      <c r="A91" s="13">
        <v>89.0</v>
      </c>
      <c r="B91" s="23"/>
      <c r="C91" s="23"/>
      <c r="D91" s="31"/>
      <c r="E91" s="23"/>
      <c r="F91" s="23"/>
      <c r="G91" s="2"/>
      <c r="H91" s="2"/>
      <c r="I91" s="2"/>
      <c r="J91" s="2"/>
      <c r="K91" s="2"/>
      <c r="L91" s="2"/>
      <c r="M91" s="2"/>
      <c r="N91" s="2"/>
      <c r="O91" s="2"/>
      <c r="P91" s="2"/>
      <c r="Q91" s="2"/>
      <c r="R91" s="2"/>
      <c r="S91" s="2"/>
      <c r="T91" s="2"/>
      <c r="U91" s="2"/>
      <c r="V91" s="2"/>
      <c r="W91" s="2"/>
      <c r="X91" s="2"/>
      <c r="Y91" s="2"/>
      <c r="Z91" s="2"/>
    </row>
    <row r="92" ht="22.5" customHeight="1">
      <c r="A92" s="13">
        <v>90.0</v>
      </c>
      <c r="B92" s="23"/>
      <c r="C92" s="23"/>
      <c r="D92" s="31"/>
      <c r="E92" s="23"/>
      <c r="F92" s="23"/>
      <c r="G92" s="2"/>
      <c r="H92" s="2"/>
      <c r="I92" s="2"/>
      <c r="J92" s="2"/>
      <c r="K92" s="2"/>
      <c r="L92" s="2"/>
      <c r="M92" s="2"/>
      <c r="N92" s="2"/>
      <c r="O92" s="2"/>
      <c r="P92" s="2"/>
      <c r="Q92" s="2"/>
      <c r="R92" s="2"/>
      <c r="S92" s="2"/>
      <c r="T92" s="2"/>
      <c r="U92" s="2"/>
      <c r="V92" s="2"/>
      <c r="W92" s="2"/>
      <c r="X92" s="2"/>
      <c r="Y92" s="2"/>
      <c r="Z92" s="2"/>
    </row>
    <row r="93" ht="22.5" customHeight="1">
      <c r="A93" s="13">
        <v>91.0</v>
      </c>
      <c r="B93" s="23"/>
      <c r="C93" s="23"/>
      <c r="D93" s="31"/>
      <c r="E93" s="23"/>
      <c r="F93" s="23"/>
      <c r="G93" s="2"/>
      <c r="H93" s="2"/>
      <c r="I93" s="2"/>
      <c r="J93" s="2"/>
      <c r="K93" s="2"/>
      <c r="L93" s="2"/>
      <c r="M93" s="2"/>
      <c r="N93" s="2"/>
      <c r="O93" s="2"/>
      <c r="P93" s="2"/>
      <c r="Q93" s="2"/>
      <c r="R93" s="2"/>
      <c r="S93" s="2"/>
      <c r="T93" s="2"/>
      <c r="U93" s="2"/>
      <c r="V93" s="2"/>
      <c r="W93" s="2"/>
      <c r="X93" s="2"/>
      <c r="Y93" s="2"/>
      <c r="Z93" s="2"/>
    </row>
    <row r="94" ht="22.5" customHeight="1">
      <c r="A94" s="13">
        <v>92.0</v>
      </c>
      <c r="B94" s="23"/>
      <c r="C94" s="23"/>
      <c r="D94" s="31"/>
      <c r="E94" s="23"/>
      <c r="F94" s="23"/>
      <c r="G94" s="2"/>
      <c r="H94" s="2"/>
      <c r="I94" s="2"/>
      <c r="J94" s="2"/>
      <c r="K94" s="2"/>
      <c r="L94" s="2"/>
      <c r="M94" s="2"/>
      <c r="N94" s="2"/>
      <c r="O94" s="2"/>
      <c r="P94" s="2"/>
      <c r="Q94" s="2"/>
      <c r="R94" s="2"/>
      <c r="S94" s="2"/>
      <c r="T94" s="2"/>
      <c r="U94" s="2"/>
      <c r="V94" s="2"/>
      <c r="W94" s="2"/>
      <c r="X94" s="2"/>
      <c r="Y94" s="2"/>
      <c r="Z94" s="2"/>
    </row>
    <row r="95" ht="22.5" customHeight="1">
      <c r="A95" s="13">
        <v>93.0</v>
      </c>
      <c r="B95" s="23"/>
      <c r="C95" s="23"/>
      <c r="D95" s="31"/>
      <c r="E95" s="23"/>
      <c r="F95" s="23"/>
      <c r="G95" s="2"/>
      <c r="H95" s="2"/>
      <c r="I95" s="2"/>
      <c r="J95" s="2"/>
      <c r="K95" s="2"/>
      <c r="L95" s="2"/>
      <c r="M95" s="2"/>
      <c r="N95" s="2"/>
      <c r="O95" s="2"/>
      <c r="P95" s="2"/>
      <c r="Q95" s="2"/>
      <c r="R95" s="2"/>
      <c r="S95" s="2"/>
      <c r="T95" s="2"/>
      <c r="U95" s="2"/>
      <c r="V95" s="2"/>
      <c r="W95" s="2"/>
      <c r="X95" s="2"/>
      <c r="Y95" s="2"/>
      <c r="Z95" s="2"/>
    </row>
    <row r="96" ht="22.5" customHeight="1">
      <c r="A96" s="13">
        <v>94.0</v>
      </c>
      <c r="B96" s="23"/>
      <c r="C96" s="23"/>
      <c r="D96" s="31"/>
      <c r="E96" s="23"/>
      <c r="F96" s="23"/>
      <c r="G96" s="2"/>
      <c r="H96" s="2"/>
      <c r="I96" s="2"/>
      <c r="J96" s="2"/>
      <c r="K96" s="2"/>
      <c r="L96" s="2"/>
      <c r="M96" s="2"/>
      <c r="N96" s="2"/>
      <c r="O96" s="2"/>
      <c r="P96" s="2"/>
      <c r="Q96" s="2"/>
      <c r="R96" s="2"/>
      <c r="S96" s="2"/>
      <c r="T96" s="2"/>
      <c r="U96" s="2"/>
      <c r="V96" s="2"/>
      <c r="W96" s="2"/>
      <c r="X96" s="2"/>
      <c r="Y96" s="2"/>
      <c r="Z96" s="2"/>
    </row>
    <row r="97" ht="22.5" customHeight="1">
      <c r="A97" s="13">
        <v>95.0</v>
      </c>
      <c r="B97" s="23"/>
      <c r="C97" s="23"/>
      <c r="D97" s="31"/>
      <c r="E97" s="23"/>
      <c r="F97" s="23"/>
      <c r="G97" s="2"/>
      <c r="H97" s="2"/>
      <c r="I97" s="2"/>
      <c r="J97" s="2"/>
      <c r="K97" s="2"/>
      <c r="L97" s="2"/>
      <c r="M97" s="2"/>
      <c r="N97" s="2"/>
      <c r="O97" s="2"/>
      <c r="P97" s="2"/>
      <c r="Q97" s="2"/>
      <c r="R97" s="2"/>
      <c r="S97" s="2"/>
      <c r="T97" s="2"/>
      <c r="U97" s="2"/>
      <c r="V97" s="2"/>
      <c r="W97" s="2"/>
      <c r="X97" s="2"/>
      <c r="Y97" s="2"/>
      <c r="Z97" s="2"/>
    </row>
    <row r="98" ht="22.5" customHeight="1">
      <c r="A98" s="13">
        <v>96.0</v>
      </c>
      <c r="B98" s="23"/>
      <c r="C98" s="23"/>
      <c r="D98" s="31"/>
      <c r="E98" s="23"/>
      <c r="F98" s="23"/>
      <c r="G98" s="2"/>
      <c r="H98" s="2"/>
      <c r="I98" s="2"/>
      <c r="J98" s="2"/>
      <c r="K98" s="2"/>
      <c r="L98" s="2"/>
      <c r="M98" s="2"/>
      <c r="N98" s="2"/>
      <c r="O98" s="2"/>
      <c r="P98" s="2"/>
      <c r="Q98" s="2"/>
      <c r="R98" s="2"/>
      <c r="S98" s="2"/>
      <c r="T98" s="2"/>
      <c r="U98" s="2"/>
      <c r="V98" s="2"/>
      <c r="W98" s="2"/>
      <c r="X98" s="2"/>
      <c r="Y98" s="2"/>
      <c r="Z98" s="2"/>
    </row>
    <row r="99" ht="22.5" customHeight="1">
      <c r="A99" s="13">
        <v>97.0</v>
      </c>
      <c r="B99" s="23"/>
      <c r="C99" s="23"/>
      <c r="D99" s="31"/>
      <c r="E99" s="23"/>
      <c r="F99" s="23"/>
      <c r="G99" s="2"/>
      <c r="H99" s="2"/>
      <c r="I99" s="2"/>
      <c r="J99" s="2"/>
      <c r="K99" s="2"/>
      <c r="L99" s="2"/>
      <c r="M99" s="2"/>
      <c r="N99" s="2"/>
      <c r="O99" s="2"/>
      <c r="P99" s="2"/>
      <c r="Q99" s="2"/>
      <c r="R99" s="2"/>
      <c r="S99" s="2"/>
      <c r="T99" s="2"/>
      <c r="U99" s="2"/>
      <c r="V99" s="2"/>
      <c r="W99" s="2"/>
      <c r="X99" s="2"/>
      <c r="Y99" s="2"/>
      <c r="Z99" s="2"/>
    </row>
    <row r="100" ht="22.5" customHeight="1">
      <c r="A100" s="13">
        <v>98.0</v>
      </c>
      <c r="B100" s="23"/>
      <c r="C100" s="23"/>
      <c r="D100" s="31"/>
      <c r="E100" s="23"/>
      <c r="F100" s="23"/>
      <c r="G100" s="2"/>
      <c r="H100" s="2"/>
      <c r="I100" s="2"/>
      <c r="J100" s="2"/>
      <c r="K100" s="2"/>
      <c r="L100" s="2"/>
      <c r="M100" s="2"/>
      <c r="N100" s="2"/>
      <c r="O100" s="2"/>
      <c r="P100" s="2"/>
      <c r="Q100" s="2"/>
      <c r="R100" s="2"/>
      <c r="S100" s="2"/>
      <c r="T100" s="2"/>
      <c r="U100" s="2"/>
      <c r="V100" s="2"/>
      <c r="W100" s="2"/>
      <c r="X100" s="2"/>
      <c r="Y100" s="2"/>
      <c r="Z100" s="2"/>
    </row>
    <row r="101" ht="22.5" customHeight="1">
      <c r="A101" s="13">
        <v>99.0</v>
      </c>
      <c r="B101" s="23"/>
      <c r="C101" s="23"/>
      <c r="D101" s="31"/>
      <c r="E101" s="23"/>
      <c r="F101" s="23"/>
      <c r="G101" s="2"/>
      <c r="H101" s="2"/>
      <c r="I101" s="2"/>
      <c r="J101" s="2"/>
      <c r="K101" s="2"/>
      <c r="L101" s="2"/>
      <c r="M101" s="2"/>
      <c r="N101" s="2"/>
      <c r="O101" s="2"/>
      <c r="P101" s="2"/>
      <c r="Q101" s="2"/>
      <c r="R101" s="2"/>
      <c r="S101" s="2"/>
      <c r="T101" s="2"/>
      <c r="U101" s="2"/>
      <c r="V101" s="2"/>
      <c r="W101" s="2"/>
      <c r="X101" s="2"/>
      <c r="Y101" s="2"/>
      <c r="Z101" s="2"/>
    </row>
    <row r="102" ht="22.5" customHeight="1">
      <c r="A102" s="13">
        <v>100.0</v>
      </c>
      <c r="B102" s="23"/>
      <c r="C102" s="23"/>
      <c r="D102" s="31"/>
      <c r="E102" s="23"/>
      <c r="F102" s="23"/>
      <c r="G102" s="2"/>
      <c r="H102" s="2"/>
      <c r="I102" s="2"/>
      <c r="J102" s="2"/>
      <c r="K102" s="2"/>
      <c r="L102" s="2"/>
      <c r="M102" s="2"/>
      <c r="N102" s="2"/>
      <c r="O102" s="2"/>
      <c r="P102" s="2"/>
      <c r="Q102" s="2"/>
      <c r="R102" s="2"/>
      <c r="S102" s="2"/>
      <c r="T102" s="2"/>
      <c r="U102" s="2"/>
      <c r="V102" s="2"/>
      <c r="W102" s="2"/>
      <c r="X102" s="2"/>
      <c r="Y102" s="2"/>
      <c r="Z102" s="2"/>
    </row>
    <row r="103" ht="22.5" customHeight="1">
      <c r="A103" s="13">
        <v>101.0</v>
      </c>
      <c r="B103" s="23"/>
      <c r="C103" s="23"/>
      <c r="D103" s="31"/>
      <c r="E103" s="23"/>
      <c r="F103" s="23"/>
      <c r="G103" s="2"/>
      <c r="H103" s="2"/>
      <c r="I103" s="2"/>
      <c r="J103" s="2"/>
      <c r="K103" s="2"/>
      <c r="L103" s="2"/>
      <c r="M103" s="2"/>
      <c r="N103" s="2"/>
      <c r="O103" s="2"/>
      <c r="P103" s="2"/>
      <c r="Q103" s="2"/>
      <c r="R103" s="2"/>
      <c r="S103" s="2"/>
      <c r="T103" s="2"/>
      <c r="U103" s="2"/>
      <c r="V103" s="2"/>
      <c r="W103" s="2"/>
      <c r="X103" s="2"/>
      <c r="Y103" s="2"/>
      <c r="Z103" s="2"/>
    </row>
    <row r="104" ht="22.5" customHeight="1">
      <c r="A104" s="13">
        <v>102.0</v>
      </c>
      <c r="B104" s="23"/>
      <c r="C104" s="23"/>
      <c r="D104" s="31"/>
      <c r="E104" s="23"/>
      <c r="F104" s="23"/>
      <c r="G104" s="2"/>
      <c r="H104" s="2"/>
      <c r="I104" s="2"/>
      <c r="J104" s="2"/>
      <c r="K104" s="2"/>
      <c r="L104" s="2"/>
      <c r="M104" s="2"/>
      <c r="N104" s="2"/>
      <c r="O104" s="2"/>
      <c r="P104" s="2"/>
      <c r="Q104" s="2"/>
      <c r="R104" s="2"/>
      <c r="S104" s="2"/>
      <c r="T104" s="2"/>
      <c r="U104" s="2"/>
      <c r="V104" s="2"/>
      <c r="W104" s="2"/>
      <c r="X104" s="2"/>
      <c r="Y104" s="2"/>
      <c r="Z104" s="2"/>
    </row>
    <row r="105" ht="22.5" customHeight="1">
      <c r="A105" s="13">
        <v>103.0</v>
      </c>
      <c r="B105" s="23"/>
      <c r="C105" s="23"/>
      <c r="D105" s="31"/>
      <c r="E105" s="23"/>
      <c r="F105" s="23"/>
      <c r="G105" s="2"/>
      <c r="H105" s="2"/>
      <c r="I105" s="2"/>
      <c r="J105" s="2"/>
      <c r="K105" s="2"/>
      <c r="L105" s="2"/>
      <c r="M105" s="2"/>
      <c r="N105" s="2"/>
      <c r="O105" s="2"/>
      <c r="P105" s="2"/>
      <c r="Q105" s="2"/>
      <c r="R105" s="2"/>
      <c r="S105" s="2"/>
      <c r="T105" s="2"/>
      <c r="U105" s="2"/>
      <c r="V105" s="2"/>
      <c r="W105" s="2"/>
      <c r="X105" s="2"/>
      <c r="Y105" s="2"/>
      <c r="Z105" s="2"/>
    </row>
    <row r="106" ht="22.5" customHeight="1">
      <c r="A106" s="13">
        <v>104.0</v>
      </c>
      <c r="B106" s="23"/>
      <c r="C106" s="23"/>
      <c r="D106" s="31"/>
      <c r="E106" s="23"/>
      <c r="F106" s="23"/>
      <c r="G106" s="2"/>
      <c r="H106" s="2"/>
      <c r="I106" s="2"/>
      <c r="J106" s="2"/>
      <c r="K106" s="2"/>
      <c r="L106" s="2"/>
      <c r="M106" s="2"/>
      <c r="N106" s="2"/>
      <c r="O106" s="2"/>
      <c r="P106" s="2"/>
      <c r="Q106" s="2"/>
      <c r="R106" s="2"/>
      <c r="S106" s="2"/>
      <c r="T106" s="2"/>
      <c r="U106" s="2"/>
      <c r="V106" s="2"/>
      <c r="W106" s="2"/>
      <c r="X106" s="2"/>
      <c r="Y106" s="2"/>
      <c r="Z106" s="2"/>
    </row>
    <row r="107" ht="22.5" customHeight="1">
      <c r="A107" s="13">
        <v>105.0</v>
      </c>
      <c r="B107" s="23"/>
      <c r="C107" s="23"/>
      <c r="D107" s="31"/>
      <c r="E107" s="23"/>
      <c r="F107" s="23"/>
      <c r="G107" s="2"/>
      <c r="H107" s="2"/>
      <c r="I107" s="2"/>
      <c r="J107" s="2"/>
      <c r="K107" s="2"/>
      <c r="L107" s="2"/>
      <c r="M107" s="2"/>
      <c r="N107" s="2"/>
      <c r="O107" s="2"/>
      <c r="P107" s="2"/>
      <c r="Q107" s="2"/>
      <c r="R107" s="2"/>
      <c r="S107" s="2"/>
      <c r="T107" s="2"/>
      <c r="U107" s="2"/>
      <c r="V107" s="2"/>
      <c r="W107" s="2"/>
      <c r="X107" s="2"/>
      <c r="Y107" s="2"/>
      <c r="Z107" s="2"/>
    </row>
    <row r="108" ht="22.5" customHeight="1">
      <c r="A108" s="13">
        <v>106.0</v>
      </c>
      <c r="B108" s="23"/>
      <c r="C108" s="23"/>
      <c r="D108" s="31"/>
      <c r="E108" s="23"/>
      <c r="F108" s="23"/>
      <c r="G108" s="2"/>
      <c r="H108" s="2"/>
      <c r="I108" s="2"/>
      <c r="J108" s="2"/>
      <c r="K108" s="2"/>
      <c r="L108" s="2"/>
      <c r="M108" s="2"/>
      <c r="N108" s="2"/>
      <c r="O108" s="2"/>
      <c r="P108" s="2"/>
      <c r="Q108" s="2"/>
      <c r="R108" s="2"/>
      <c r="S108" s="2"/>
      <c r="T108" s="2"/>
      <c r="U108" s="2"/>
      <c r="V108" s="2"/>
      <c r="W108" s="2"/>
      <c r="X108" s="2"/>
      <c r="Y108" s="2"/>
      <c r="Z108" s="2"/>
    </row>
  </sheetData>
  <dataValidations>
    <dataValidation type="list" allowBlank="1" sqref="D2:D108">
      <formula1>"Decision Tree,GBM,XGB,LGBM,CAT? Logistic?"</formula1>
    </dataValidation>
    <dataValidation type="custom" allowBlank="1" showDropDown="1" sqref="A2:A108">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23.38"/>
    <col customWidth="1" min="4" max="4" width="35.63"/>
    <col customWidth="1" min="5" max="5" width="52.88"/>
  </cols>
  <sheetData>
    <row r="1">
      <c r="A1" s="1" t="s">
        <v>0</v>
      </c>
      <c r="D1" s="2"/>
      <c r="E1" s="2"/>
    </row>
    <row r="2">
      <c r="D2" s="2"/>
      <c r="E2" s="2"/>
    </row>
    <row r="3" ht="30.0" customHeight="1">
      <c r="A3" s="3" t="s">
        <v>1</v>
      </c>
      <c r="B3" s="3" t="s">
        <v>2</v>
      </c>
      <c r="C3" s="3" t="s">
        <v>3</v>
      </c>
      <c r="D3" s="3" t="s">
        <v>4</v>
      </c>
      <c r="E3" s="3" t="s">
        <v>5</v>
      </c>
      <c r="F3" s="4"/>
    </row>
    <row r="4">
      <c r="A4" s="5" t="s">
        <v>6</v>
      </c>
      <c r="B4" s="5" t="s">
        <v>7</v>
      </c>
      <c r="C4" s="5" t="s">
        <v>8</v>
      </c>
      <c r="D4" s="5" t="s">
        <v>9</v>
      </c>
      <c r="E4" s="5" t="s">
        <v>10</v>
      </c>
      <c r="F4" s="4"/>
    </row>
    <row r="5">
      <c r="A5" s="5" t="s">
        <v>11</v>
      </c>
      <c r="B5" s="5" t="s">
        <v>12</v>
      </c>
      <c r="C5" s="5" t="s">
        <v>13</v>
      </c>
      <c r="D5" s="5" t="s">
        <v>14</v>
      </c>
      <c r="E5" s="5" t="s">
        <v>15</v>
      </c>
      <c r="F5" s="4"/>
    </row>
    <row r="6">
      <c r="A6" s="5" t="s">
        <v>11</v>
      </c>
      <c r="B6" s="5" t="s">
        <v>16</v>
      </c>
      <c r="C6" s="5" t="s">
        <v>17</v>
      </c>
      <c r="D6" s="5" t="s">
        <v>18</v>
      </c>
      <c r="E6" s="5" t="s">
        <v>19</v>
      </c>
      <c r="F6" s="4"/>
    </row>
    <row r="7">
      <c r="A7" s="5" t="s">
        <v>11</v>
      </c>
      <c r="B7" s="5" t="s">
        <v>20</v>
      </c>
      <c r="C7" s="5" t="s">
        <v>21</v>
      </c>
      <c r="D7" s="5" t="s">
        <v>22</v>
      </c>
      <c r="E7" s="5" t="s">
        <v>23</v>
      </c>
      <c r="F7" s="4"/>
    </row>
    <row r="8">
      <c r="A8" s="5" t="s">
        <v>24</v>
      </c>
      <c r="B8" s="5" t="s">
        <v>25</v>
      </c>
      <c r="C8" s="5" t="s">
        <v>26</v>
      </c>
      <c r="D8" s="5" t="s">
        <v>27</v>
      </c>
      <c r="E8" s="5" t="s">
        <v>28</v>
      </c>
      <c r="F8" s="4"/>
    </row>
    <row r="9">
      <c r="A9" s="5" t="s">
        <v>24</v>
      </c>
      <c r="B9" s="5" t="s">
        <v>29</v>
      </c>
      <c r="C9" s="5" t="s">
        <v>30</v>
      </c>
      <c r="D9" s="5" t="s">
        <v>31</v>
      </c>
      <c r="E9" s="5" t="s">
        <v>32</v>
      </c>
      <c r="F9" s="4"/>
    </row>
    <row r="10">
      <c r="A10" s="5" t="s">
        <v>33</v>
      </c>
      <c r="B10" s="5"/>
      <c r="C10" s="5" t="s">
        <v>34</v>
      </c>
      <c r="D10" s="5" t="s">
        <v>35</v>
      </c>
      <c r="E10" s="5" t="s">
        <v>36</v>
      </c>
      <c r="F10" s="4"/>
    </row>
    <row r="11">
      <c r="A11" s="5" t="s">
        <v>37</v>
      </c>
      <c r="B11" s="5" t="s">
        <v>38</v>
      </c>
      <c r="C11" s="5" t="s">
        <v>39</v>
      </c>
      <c r="D11" s="5" t="s">
        <v>40</v>
      </c>
      <c r="E11" s="5" t="s">
        <v>41</v>
      </c>
      <c r="F11" s="4"/>
    </row>
    <row r="12">
      <c r="A12" s="5" t="s">
        <v>42</v>
      </c>
      <c r="B12" s="5" t="s">
        <v>43</v>
      </c>
      <c r="C12" s="5" t="s">
        <v>44</v>
      </c>
      <c r="D12" s="5" t="s">
        <v>45</v>
      </c>
      <c r="E12" s="5" t="s">
        <v>46</v>
      </c>
      <c r="F12" s="4"/>
    </row>
    <row r="13">
      <c r="A13" s="5" t="s">
        <v>47</v>
      </c>
      <c r="B13" s="5" t="s">
        <v>48</v>
      </c>
      <c r="C13" s="5" t="s">
        <v>49</v>
      </c>
      <c r="D13" s="5" t="s">
        <v>50</v>
      </c>
      <c r="E13" s="5" t="s">
        <v>51</v>
      </c>
      <c r="F13" s="4"/>
    </row>
    <row r="14">
      <c r="A14" s="5" t="s">
        <v>52</v>
      </c>
      <c r="B14" s="5" t="s">
        <v>53</v>
      </c>
      <c r="C14" s="5" t="s">
        <v>55</v>
      </c>
      <c r="D14" s="5" t="s">
        <v>56</v>
      </c>
      <c r="E14" s="5" t="s">
        <v>57</v>
      </c>
      <c r="F14" s="4"/>
    </row>
    <row r="15">
      <c r="A15" s="5"/>
      <c r="B15" s="5" t="s">
        <v>58</v>
      </c>
      <c r="C15" s="5" t="s">
        <v>59</v>
      </c>
      <c r="D15" s="5" t="s">
        <v>60</v>
      </c>
      <c r="E15" s="5" t="s">
        <v>61</v>
      </c>
      <c r="F15" s="4"/>
    </row>
    <row r="16">
      <c r="A16" s="7" t="s">
        <v>63</v>
      </c>
      <c r="B16" s="8"/>
      <c r="C16" s="7" t="s">
        <v>65</v>
      </c>
      <c r="D16" s="7" t="s">
        <v>67</v>
      </c>
      <c r="E16" s="7" t="s">
        <v>69</v>
      </c>
      <c r="F16" s="9"/>
      <c r="G16" s="10"/>
      <c r="H16" s="10"/>
      <c r="I16" s="10"/>
      <c r="J16" s="10"/>
    </row>
    <row r="17" ht="27.0" customHeight="1">
      <c r="A17" s="11" t="s">
        <v>75</v>
      </c>
      <c r="B17" s="12"/>
      <c r="C17" s="14"/>
      <c r="D17" s="16" t="s">
        <v>82</v>
      </c>
      <c r="E17" s="14"/>
    </row>
    <row r="18" ht="27.0" customHeight="1">
      <c r="A18" s="18"/>
      <c r="C18" s="20"/>
      <c r="D18" s="18"/>
      <c r="E18" s="20"/>
    </row>
    <row r="19" ht="27.0" customHeight="1">
      <c r="A19" s="22"/>
      <c r="B19" s="24"/>
      <c r="C19" s="25"/>
      <c r="D19" s="22"/>
      <c r="E19" s="25"/>
    </row>
    <row r="20">
      <c r="A20" s="8"/>
      <c r="D20" s="8" t="s">
        <v>87</v>
      </c>
      <c r="E20" s="2"/>
    </row>
    <row r="21">
      <c r="B21" s="2"/>
      <c r="C21" s="2"/>
      <c r="D21" s="2"/>
      <c r="E21" s="2"/>
    </row>
    <row r="22">
      <c r="A22" s="2"/>
      <c r="B22" s="2"/>
      <c r="C22" s="2"/>
      <c r="D22" s="2"/>
      <c r="E22" s="2"/>
    </row>
    <row r="23">
      <c r="A23" s="2"/>
      <c r="B23" s="2"/>
      <c r="C23" s="2"/>
      <c r="D23" s="2"/>
      <c r="E23" s="2"/>
    </row>
    <row r="24">
      <c r="A24" s="2"/>
      <c r="B24" s="2"/>
      <c r="C24" s="2"/>
      <c r="D24" s="8" t="s">
        <v>88</v>
      </c>
      <c r="E24" s="2"/>
    </row>
    <row r="25">
      <c r="A25" s="2"/>
      <c r="B25" s="2"/>
      <c r="C25" s="2"/>
      <c r="D25" s="8" t="s">
        <v>89</v>
      </c>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sheetData>
  <mergeCells count="4">
    <mergeCell ref="A1:C2"/>
    <mergeCell ref="A17:C19"/>
    <mergeCell ref="D17:E19"/>
    <mergeCell ref="A20:C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25.38"/>
    <col customWidth="1" min="3" max="3" width="44.0"/>
    <col customWidth="1" min="4" max="5" width="22.63"/>
    <col customWidth="1" min="6" max="6" width="12.13"/>
    <col customWidth="1" min="7" max="7" width="8.88"/>
    <col customWidth="1" min="8" max="8" width="39.88"/>
  </cols>
  <sheetData>
    <row r="1" ht="22.5" customHeight="1">
      <c r="A1" s="6" t="s">
        <v>54</v>
      </c>
      <c r="B1" s="6" t="s">
        <v>62</v>
      </c>
      <c r="C1" s="6" t="s">
        <v>64</v>
      </c>
      <c r="D1" s="6" t="s">
        <v>66</v>
      </c>
      <c r="E1" s="6" t="s">
        <v>72</v>
      </c>
      <c r="F1" s="6" t="s">
        <v>74</v>
      </c>
      <c r="G1" s="6" t="s">
        <v>77</v>
      </c>
      <c r="H1" s="6" t="s">
        <v>79</v>
      </c>
      <c r="I1" s="2"/>
      <c r="J1" s="2"/>
      <c r="K1" s="2"/>
      <c r="L1" s="2"/>
      <c r="M1" s="2"/>
      <c r="N1" s="2"/>
      <c r="O1" s="2"/>
      <c r="P1" s="2"/>
      <c r="Q1" s="2"/>
      <c r="R1" s="2"/>
      <c r="S1" s="2"/>
      <c r="T1" s="2"/>
      <c r="U1" s="2"/>
      <c r="V1" s="2"/>
      <c r="W1" s="2"/>
      <c r="X1" s="2"/>
      <c r="Y1" s="2"/>
      <c r="Z1" s="2"/>
      <c r="AA1" s="2"/>
      <c r="AB1" s="2"/>
    </row>
    <row r="2" ht="22.5" customHeight="1">
      <c r="A2" s="13" t="s">
        <v>80</v>
      </c>
      <c r="B2" s="15" t="s">
        <v>81</v>
      </c>
      <c r="C2" s="15" t="s">
        <v>84</v>
      </c>
      <c r="D2" s="19" t="s">
        <v>85</v>
      </c>
      <c r="E2" s="29"/>
      <c r="F2" s="29">
        <v>0.5</v>
      </c>
      <c r="G2" s="30" t="s">
        <v>90</v>
      </c>
      <c r="H2" s="23"/>
      <c r="I2" s="2"/>
      <c r="J2" s="2"/>
      <c r="K2" s="2"/>
      <c r="L2" s="2"/>
      <c r="M2" s="2"/>
      <c r="N2" s="2"/>
      <c r="O2" s="2"/>
      <c r="P2" s="2"/>
      <c r="Q2" s="2"/>
      <c r="R2" s="2"/>
      <c r="S2" s="2"/>
      <c r="T2" s="2"/>
      <c r="U2" s="2"/>
      <c r="V2" s="2"/>
      <c r="W2" s="2"/>
      <c r="X2" s="2"/>
      <c r="Y2" s="2"/>
      <c r="Z2" s="2"/>
      <c r="AA2" s="2"/>
      <c r="AB2" s="2"/>
    </row>
    <row r="3" ht="22.5" customHeight="1">
      <c r="A3" s="13">
        <v>1.0</v>
      </c>
      <c r="B3" s="34"/>
      <c r="C3" s="35"/>
      <c r="D3" s="36"/>
      <c r="E3" s="37"/>
      <c r="F3" s="37"/>
      <c r="G3" s="39">
        <f t="shared" ref="G3:G6" si="1">F3-F2</f>
        <v>-0.5</v>
      </c>
      <c r="H3" s="23"/>
      <c r="I3" s="2"/>
      <c r="J3" s="2"/>
      <c r="K3" s="2"/>
      <c r="L3" s="2"/>
      <c r="M3" s="2"/>
      <c r="N3" s="2"/>
      <c r="O3" s="2"/>
      <c r="P3" s="2"/>
      <c r="Q3" s="2"/>
      <c r="R3" s="2"/>
      <c r="S3" s="2"/>
      <c r="T3" s="2"/>
      <c r="U3" s="2"/>
      <c r="V3" s="2"/>
      <c r="W3" s="2"/>
      <c r="X3" s="2"/>
      <c r="Y3" s="2"/>
      <c r="Z3" s="2"/>
      <c r="AA3" s="2"/>
      <c r="AB3" s="2"/>
    </row>
    <row r="4" ht="22.5" customHeight="1">
      <c r="A4" s="13">
        <v>2.0</v>
      </c>
      <c r="B4" s="42"/>
      <c r="C4" s="43"/>
      <c r="D4" s="44"/>
      <c r="E4" s="45"/>
      <c r="F4" s="45"/>
      <c r="G4" s="39">
        <f t="shared" si="1"/>
        <v>0</v>
      </c>
      <c r="H4" s="46"/>
      <c r="I4" s="2"/>
      <c r="J4" s="2"/>
      <c r="K4" s="2"/>
      <c r="L4" s="2"/>
      <c r="M4" s="2"/>
      <c r="N4" s="2"/>
      <c r="O4" s="2"/>
      <c r="P4" s="2"/>
      <c r="Q4" s="2"/>
      <c r="R4" s="2"/>
      <c r="S4" s="2"/>
      <c r="T4" s="2"/>
      <c r="U4" s="2"/>
      <c r="V4" s="2"/>
      <c r="W4" s="2"/>
      <c r="X4" s="2"/>
      <c r="Y4" s="2"/>
      <c r="Z4" s="2"/>
      <c r="AA4" s="2"/>
      <c r="AB4" s="2"/>
    </row>
    <row r="5" ht="22.5" customHeight="1">
      <c r="A5" s="13">
        <v>3.0</v>
      </c>
      <c r="B5" s="34"/>
      <c r="C5" s="35"/>
      <c r="D5" s="36"/>
      <c r="E5" s="37"/>
      <c r="F5" s="37"/>
      <c r="G5" s="39">
        <f t="shared" si="1"/>
        <v>0</v>
      </c>
      <c r="H5" s="48"/>
      <c r="I5" s="2"/>
      <c r="J5" s="2"/>
      <c r="K5" s="2"/>
      <c r="L5" s="2"/>
      <c r="M5" s="2"/>
      <c r="N5" s="2"/>
      <c r="O5" s="2"/>
      <c r="P5" s="2"/>
      <c r="Q5" s="2"/>
      <c r="R5" s="2"/>
      <c r="S5" s="2"/>
      <c r="T5" s="2"/>
      <c r="U5" s="2"/>
      <c r="V5" s="2"/>
      <c r="W5" s="2"/>
      <c r="X5" s="2"/>
      <c r="Y5" s="2"/>
      <c r="Z5" s="2"/>
      <c r="AA5" s="2"/>
      <c r="AB5" s="2"/>
    </row>
    <row r="6" ht="27.75" customHeight="1">
      <c r="A6" s="49" t="s">
        <v>126</v>
      </c>
      <c r="B6" s="50" t="s">
        <v>127</v>
      </c>
      <c r="D6" s="51"/>
      <c r="E6" s="52"/>
      <c r="F6" s="52"/>
      <c r="G6" s="53">
        <f t="shared" si="1"/>
        <v>0</v>
      </c>
      <c r="H6" s="54"/>
      <c r="I6" s="2"/>
      <c r="J6" s="2"/>
      <c r="K6" s="2"/>
      <c r="L6" s="2"/>
      <c r="M6" s="2"/>
      <c r="N6" s="2"/>
      <c r="O6" s="2"/>
      <c r="P6" s="2"/>
      <c r="Q6" s="2"/>
      <c r="R6" s="2"/>
      <c r="S6" s="2"/>
      <c r="T6" s="2"/>
      <c r="U6" s="2"/>
      <c r="V6" s="2"/>
      <c r="W6" s="2"/>
      <c r="X6" s="2"/>
      <c r="Y6" s="2"/>
      <c r="Z6" s="2"/>
      <c r="AA6" s="2"/>
      <c r="AB6" s="2"/>
    </row>
    <row r="7" ht="27.75" customHeight="1">
      <c r="D7" s="51"/>
      <c r="E7" s="52"/>
      <c r="F7" s="52"/>
      <c r="G7" s="55"/>
      <c r="H7" s="54"/>
      <c r="I7" s="2"/>
      <c r="J7" s="2"/>
      <c r="K7" s="2"/>
      <c r="L7" s="2"/>
      <c r="M7" s="2"/>
      <c r="N7" s="2"/>
      <c r="O7" s="2"/>
      <c r="P7" s="2"/>
      <c r="Q7" s="2"/>
      <c r="R7" s="2"/>
      <c r="S7" s="2"/>
      <c r="T7" s="2"/>
      <c r="U7" s="2"/>
      <c r="V7" s="2"/>
      <c r="W7" s="2"/>
      <c r="X7" s="2"/>
      <c r="Y7" s="2"/>
      <c r="Z7" s="2"/>
      <c r="AA7" s="2"/>
      <c r="AB7" s="2"/>
    </row>
    <row r="8" ht="27.75" customHeight="1">
      <c r="D8" s="51"/>
      <c r="E8" s="52"/>
      <c r="F8" s="52"/>
      <c r="G8" s="55"/>
      <c r="H8" s="54"/>
      <c r="I8" s="2"/>
      <c r="J8" s="2"/>
      <c r="K8" s="2"/>
      <c r="L8" s="2"/>
      <c r="M8" s="2"/>
      <c r="N8" s="2"/>
      <c r="O8" s="2"/>
      <c r="P8" s="2"/>
      <c r="Q8" s="2"/>
      <c r="R8" s="2"/>
      <c r="S8" s="2"/>
      <c r="T8" s="2"/>
      <c r="U8" s="2"/>
      <c r="V8" s="2"/>
      <c r="W8" s="2"/>
      <c r="X8" s="2"/>
      <c r="Y8" s="2"/>
      <c r="Z8" s="2"/>
      <c r="AA8" s="2"/>
      <c r="AB8" s="2"/>
    </row>
    <row r="9" ht="27.75" customHeight="1">
      <c r="D9" s="51"/>
      <c r="E9" s="52"/>
      <c r="F9" s="52"/>
      <c r="G9" s="55"/>
      <c r="H9" s="54"/>
      <c r="I9" s="2"/>
      <c r="J9" s="2"/>
      <c r="K9" s="2"/>
      <c r="L9" s="2"/>
      <c r="M9" s="2"/>
      <c r="N9" s="2"/>
      <c r="O9" s="2"/>
      <c r="P9" s="2"/>
      <c r="Q9" s="2"/>
      <c r="R9" s="2"/>
      <c r="S9" s="2"/>
      <c r="T9" s="2"/>
      <c r="U9" s="2"/>
      <c r="V9" s="2"/>
      <c r="W9" s="2"/>
      <c r="X9" s="2"/>
      <c r="Y9" s="2"/>
      <c r="Z9" s="2"/>
      <c r="AA9" s="2"/>
      <c r="AB9" s="2"/>
    </row>
    <row r="10" ht="27.75" customHeight="1">
      <c r="D10" s="51"/>
      <c r="E10" s="52"/>
      <c r="F10" s="52"/>
      <c r="G10" s="55"/>
      <c r="H10" s="54"/>
      <c r="I10" s="2"/>
      <c r="J10" s="2"/>
      <c r="K10" s="2"/>
      <c r="L10" s="2"/>
      <c r="M10" s="2"/>
      <c r="N10" s="2"/>
      <c r="O10" s="2"/>
      <c r="P10" s="2"/>
      <c r="Q10" s="2"/>
      <c r="R10" s="2"/>
      <c r="S10" s="2"/>
      <c r="T10" s="2"/>
      <c r="U10" s="2"/>
      <c r="V10" s="2"/>
      <c r="W10" s="2"/>
      <c r="X10" s="2"/>
      <c r="Y10" s="2"/>
      <c r="Z10" s="2"/>
      <c r="AA10" s="2"/>
      <c r="AB10" s="2"/>
    </row>
    <row r="11" ht="27.75" customHeight="1">
      <c r="D11" s="51"/>
      <c r="E11" s="52"/>
      <c r="F11" s="52"/>
      <c r="G11" s="55"/>
      <c r="H11" s="54"/>
      <c r="I11" s="2"/>
      <c r="J11" s="2"/>
      <c r="K11" s="2"/>
      <c r="L11" s="2"/>
      <c r="M11" s="2"/>
      <c r="N11" s="2"/>
      <c r="O11" s="2"/>
      <c r="P11" s="2"/>
      <c r="Q11" s="2"/>
      <c r="R11" s="2"/>
      <c r="S11" s="2"/>
      <c r="T11" s="2"/>
      <c r="U11" s="2"/>
      <c r="V11" s="2"/>
      <c r="W11" s="2"/>
      <c r="X11" s="2"/>
      <c r="Y11" s="2"/>
      <c r="Z11" s="2"/>
      <c r="AA11" s="2"/>
      <c r="AB11" s="2"/>
    </row>
    <row r="12" ht="27.75" customHeight="1">
      <c r="D12" s="51"/>
      <c r="E12" s="52"/>
      <c r="F12" s="52"/>
      <c r="G12" s="55"/>
      <c r="H12" s="54"/>
      <c r="I12" s="2"/>
      <c r="J12" s="2"/>
      <c r="K12" s="2"/>
      <c r="L12" s="2"/>
      <c r="M12" s="2"/>
      <c r="N12" s="2"/>
      <c r="O12" s="2"/>
      <c r="P12" s="2"/>
      <c r="Q12" s="2"/>
      <c r="R12" s="2"/>
      <c r="S12" s="2"/>
      <c r="T12" s="2"/>
      <c r="U12" s="2"/>
      <c r="V12" s="2"/>
      <c r="W12" s="2"/>
      <c r="X12" s="2"/>
      <c r="Y12" s="2"/>
      <c r="Z12" s="2"/>
      <c r="AA12" s="2"/>
      <c r="AB12" s="2"/>
    </row>
    <row r="13">
      <c r="A13" s="57"/>
      <c r="B13" s="54"/>
      <c r="C13" s="58"/>
      <c r="D13" s="51"/>
      <c r="E13" s="52"/>
      <c r="F13" s="52"/>
      <c r="G13" s="55"/>
      <c r="H13" s="54"/>
      <c r="I13" s="2"/>
      <c r="J13" s="2"/>
      <c r="K13" s="2"/>
      <c r="L13" s="2"/>
      <c r="M13" s="2"/>
      <c r="N13" s="2"/>
      <c r="O13" s="2"/>
      <c r="P13" s="2"/>
      <c r="Q13" s="2"/>
      <c r="R13" s="2"/>
      <c r="S13" s="2"/>
      <c r="T13" s="2"/>
      <c r="U13" s="2"/>
      <c r="V13" s="2"/>
      <c r="W13" s="2"/>
      <c r="X13" s="2"/>
      <c r="Y13" s="2"/>
      <c r="Z13" s="2"/>
      <c r="AA13" s="2"/>
      <c r="AB13" s="2"/>
    </row>
    <row r="14">
      <c r="A14" s="57"/>
      <c r="B14" s="54"/>
      <c r="C14" s="58"/>
      <c r="D14" s="51"/>
      <c r="E14" s="52"/>
      <c r="F14" s="52"/>
      <c r="G14" s="55"/>
      <c r="H14" s="54"/>
      <c r="I14" s="2"/>
      <c r="J14" s="2"/>
      <c r="K14" s="2"/>
      <c r="L14" s="2"/>
      <c r="M14" s="2"/>
      <c r="N14" s="2"/>
      <c r="O14" s="2"/>
      <c r="P14" s="2"/>
      <c r="Q14" s="2"/>
      <c r="R14" s="2"/>
      <c r="S14" s="2"/>
      <c r="T14" s="2"/>
      <c r="U14" s="2"/>
      <c r="V14" s="2"/>
      <c r="W14" s="2"/>
      <c r="X14" s="2"/>
      <c r="Y14" s="2"/>
      <c r="Z14" s="2"/>
      <c r="AA14" s="2"/>
      <c r="AB14" s="2"/>
    </row>
    <row r="15">
      <c r="A15" s="57"/>
      <c r="B15" s="54"/>
      <c r="C15" s="58"/>
      <c r="D15" s="51"/>
      <c r="E15" s="52"/>
      <c r="F15" s="52"/>
      <c r="G15" s="55"/>
      <c r="H15" s="54"/>
      <c r="I15" s="2"/>
      <c r="J15" s="2"/>
      <c r="K15" s="2"/>
      <c r="L15" s="2"/>
      <c r="M15" s="2"/>
      <c r="N15" s="2"/>
      <c r="O15" s="2"/>
      <c r="P15" s="2"/>
      <c r="Q15" s="2"/>
      <c r="R15" s="2"/>
      <c r="S15" s="2"/>
      <c r="T15" s="2"/>
      <c r="U15" s="2"/>
      <c r="V15" s="2"/>
      <c r="W15" s="2"/>
      <c r="X15" s="2"/>
      <c r="Y15" s="2"/>
      <c r="Z15" s="2"/>
      <c r="AA15" s="2"/>
      <c r="AB15" s="2"/>
    </row>
    <row r="16">
      <c r="A16" s="57"/>
      <c r="B16" s="54"/>
      <c r="C16" s="58"/>
      <c r="D16" s="51"/>
      <c r="E16" s="52"/>
      <c r="F16" s="52"/>
      <c r="G16" s="55"/>
      <c r="H16" s="54"/>
      <c r="I16" s="2"/>
      <c r="J16" s="2"/>
      <c r="K16" s="2"/>
      <c r="L16" s="2"/>
      <c r="M16" s="2"/>
      <c r="N16" s="2"/>
      <c r="O16" s="2"/>
      <c r="P16" s="2"/>
      <c r="Q16" s="2"/>
      <c r="R16" s="2"/>
      <c r="S16" s="2"/>
      <c r="T16" s="2"/>
      <c r="U16" s="2"/>
      <c r="V16" s="2"/>
      <c r="W16" s="2"/>
      <c r="X16" s="2"/>
      <c r="Y16" s="2"/>
      <c r="Z16" s="2"/>
      <c r="AA16" s="2"/>
      <c r="AB16" s="2"/>
    </row>
  </sheetData>
  <mergeCells count="2">
    <mergeCell ref="A6:A12"/>
    <mergeCell ref="B6:C12"/>
  </mergeCells>
  <conditionalFormatting sqref="G1:G16">
    <cfRule type="colorScale" priority="1">
      <colorScale>
        <cfvo type="formula" val="-0.0001"/>
        <cfvo type="formula" val="0"/>
        <cfvo type="formula" val="0.0001"/>
        <color rgb="FF57BB8A"/>
        <color rgb="FFFFFFFF"/>
        <color rgb="FFE67C73"/>
      </colorScale>
    </cfRule>
  </conditionalFormatting>
  <dataValidations>
    <dataValidation type="list" allowBlank="1" sqref="D2:D5">
      <formula1>"Decision Tree,GBM,XGB,LGBM,CAT? Logistic?"</formula1>
    </dataValidation>
    <dataValidation type="custom" allowBlank="1" showDropDown="1" sqref="A2:A5 F2:F5">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94.63"/>
    <col customWidth="1" min="3" max="3" width="47.88"/>
    <col customWidth="1" min="4" max="4" width="12.5"/>
    <col customWidth="1" min="5" max="5" width="13.5"/>
    <col customWidth="1" min="6" max="6" width="13.0"/>
  </cols>
  <sheetData>
    <row r="1" ht="22.5" customHeight="1">
      <c r="A1" s="6" t="s">
        <v>2</v>
      </c>
      <c r="B1" s="6" t="s">
        <v>71</v>
      </c>
      <c r="C1" s="6" t="s">
        <v>73</v>
      </c>
      <c r="D1" s="6" t="s">
        <v>66</v>
      </c>
      <c r="E1" s="6" t="s">
        <v>76</v>
      </c>
      <c r="F1" s="6" t="s">
        <v>78</v>
      </c>
      <c r="G1" s="2"/>
      <c r="H1" s="2"/>
      <c r="I1" s="2"/>
      <c r="J1" s="2"/>
      <c r="K1" s="2"/>
      <c r="L1" s="2"/>
      <c r="M1" s="2"/>
      <c r="N1" s="2"/>
      <c r="O1" s="2"/>
      <c r="P1" s="2"/>
      <c r="Q1" s="2"/>
      <c r="R1" s="2"/>
      <c r="S1" s="2"/>
      <c r="T1" s="2"/>
      <c r="U1" s="2"/>
      <c r="V1" s="2"/>
      <c r="W1" s="2"/>
      <c r="X1" s="2"/>
      <c r="Y1" s="2"/>
    </row>
    <row r="2" ht="22.5" customHeight="1">
      <c r="A2" s="17" t="s">
        <v>83</v>
      </c>
      <c r="B2" s="21" t="s">
        <v>86</v>
      </c>
      <c r="C2" s="21"/>
      <c r="D2" s="26"/>
      <c r="E2" s="27"/>
      <c r="F2" s="28"/>
      <c r="G2" s="2"/>
      <c r="H2" s="2"/>
      <c r="I2" s="2"/>
      <c r="J2" s="2"/>
      <c r="K2" s="2"/>
      <c r="L2" s="2"/>
      <c r="M2" s="2"/>
      <c r="N2" s="2"/>
      <c r="O2" s="2"/>
      <c r="P2" s="2"/>
      <c r="Q2" s="2"/>
      <c r="R2" s="2"/>
      <c r="S2" s="2"/>
      <c r="T2" s="2"/>
      <c r="U2" s="2"/>
      <c r="V2" s="2"/>
      <c r="W2" s="2"/>
      <c r="X2" s="2"/>
      <c r="Y2" s="2"/>
    </row>
    <row r="3" ht="22.5" customHeight="1">
      <c r="A3" s="17" t="s">
        <v>83</v>
      </c>
      <c r="B3" s="21" t="s">
        <v>92</v>
      </c>
      <c r="C3" s="21" t="s">
        <v>93</v>
      </c>
      <c r="D3" s="32"/>
      <c r="E3" s="27"/>
      <c r="F3" s="28"/>
      <c r="G3" s="2"/>
      <c r="H3" s="2"/>
      <c r="I3" s="2"/>
      <c r="J3" s="2"/>
      <c r="K3" s="2"/>
      <c r="L3" s="2"/>
      <c r="M3" s="2"/>
      <c r="N3" s="2"/>
      <c r="O3" s="2"/>
      <c r="P3" s="2"/>
      <c r="Q3" s="2"/>
      <c r="R3" s="2"/>
      <c r="S3" s="2"/>
      <c r="T3" s="2"/>
      <c r="U3" s="2"/>
      <c r="V3" s="2"/>
      <c r="W3" s="2"/>
      <c r="X3" s="2"/>
      <c r="Y3" s="2"/>
    </row>
    <row r="4" ht="22.5" customHeight="1">
      <c r="A4" s="17" t="s">
        <v>83</v>
      </c>
      <c r="B4" s="33" t="s">
        <v>97</v>
      </c>
      <c r="C4" s="21" t="s">
        <v>98</v>
      </c>
      <c r="D4" s="26"/>
      <c r="E4" s="27"/>
      <c r="F4" s="28"/>
      <c r="G4" s="2"/>
      <c r="H4" s="2"/>
      <c r="I4" s="2"/>
      <c r="J4" s="2"/>
      <c r="K4" s="2"/>
      <c r="L4" s="2"/>
      <c r="M4" s="2"/>
      <c r="N4" s="2"/>
      <c r="O4" s="2"/>
      <c r="P4" s="2"/>
      <c r="Q4" s="2"/>
      <c r="R4" s="2"/>
      <c r="S4" s="2"/>
      <c r="T4" s="2"/>
      <c r="U4" s="2"/>
      <c r="V4" s="2"/>
      <c r="W4" s="2"/>
      <c r="X4" s="2"/>
      <c r="Y4" s="2"/>
    </row>
    <row r="5" ht="84.75" customHeight="1">
      <c r="A5" s="17" t="s">
        <v>101</v>
      </c>
      <c r="B5" s="21" t="s">
        <v>102</v>
      </c>
      <c r="C5" s="27"/>
      <c r="D5" s="26"/>
      <c r="E5" s="27"/>
      <c r="F5" s="28"/>
      <c r="G5" s="2"/>
      <c r="H5" s="2"/>
      <c r="I5" s="2"/>
      <c r="J5" s="2"/>
      <c r="K5" s="2"/>
      <c r="L5" s="2"/>
      <c r="M5" s="2"/>
      <c r="N5" s="2"/>
      <c r="O5" s="2"/>
      <c r="P5" s="2"/>
      <c r="Q5" s="2"/>
      <c r="R5" s="2"/>
      <c r="S5" s="2"/>
      <c r="T5" s="2"/>
      <c r="U5" s="2"/>
      <c r="V5" s="2"/>
      <c r="W5" s="2"/>
      <c r="X5" s="2"/>
      <c r="Y5" s="2"/>
    </row>
    <row r="6" ht="22.5" customHeight="1">
      <c r="A6" s="38" t="s">
        <v>104</v>
      </c>
      <c r="B6" s="21" t="s">
        <v>106</v>
      </c>
      <c r="C6" s="21" t="s">
        <v>108</v>
      </c>
      <c r="D6" s="26"/>
      <c r="E6" s="27"/>
      <c r="F6" s="28"/>
      <c r="G6" s="2"/>
      <c r="H6" s="2"/>
      <c r="I6" s="2"/>
      <c r="J6" s="2"/>
      <c r="K6" s="2"/>
      <c r="L6" s="2"/>
      <c r="M6" s="2"/>
      <c r="N6" s="2"/>
      <c r="O6" s="2"/>
      <c r="P6" s="2"/>
      <c r="Q6" s="2"/>
      <c r="R6" s="2"/>
      <c r="S6" s="2"/>
      <c r="T6" s="2"/>
      <c r="U6" s="2"/>
      <c r="V6" s="2"/>
      <c r="W6" s="2"/>
      <c r="X6" s="2"/>
      <c r="Y6" s="2"/>
    </row>
    <row r="7" ht="22.5" customHeight="1">
      <c r="A7" s="38" t="s">
        <v>104</v>
      </c>
      <c r="B7" s="21" t="s">
        <v>110</v>
      </c>
      <c r="C7" s="40"/>
      <c r="D7" s="26"/>
      <c r="E7" s="21"/>
      <c r="F7" s="28"/>
      <c r="G7" s="2"/>
      <c r="H7" s="2"/>
      <c r="I7" s="2"/>
      <c r="J7" s="2"/>
      <c r="K7" s="2"/>
      <c r="L7" s="2"/>
      <c r="M7" s="2"/>
      <c r="N7" s="2"/>
      <c r="O7" s="2"/>
      <c r="P7" s="2"/>
      <c r="Q7" s="2"/>
      <c r="R7" s="2"/>
      <c r="S7" s="2"/>
      <c r="T7" s="2"/>
      <c r="U7" s="2"/>
      <c r="V7" s="2"/>
      <c r="W7" s="2"/>
      <c r="X7" s="2"/>
      <c r="Y7" s="2"/>
    </row>
    <row r="8" ht="22.5" customHeight="1">
      <c r="A8" s="38" t="s">
        <v>113</v>
      </c>
      <c r="B8" s="21" t="s">
        <v>114</v>
      </c>
      <c r="C8" s="21" t="s">
        <v>115</v>
      </c>
      <c r="D8" s="26"/>
      <c r="E8" s="21">
        <v>0.086</v>
      </c>
      <c r="F8" s="47">
        <v>1.0</v>
      </c>
      <c r="G8" s="2"/>
      <c r="H8" s="2"/>
      <c r="I8" s="2"/>
      <c r="J8" s="2"/>
      <c r="K8" s="2"/>
      <c r="L8" s="2"/>
      <c r="M8" s="2"/>
      <c r="N8" s="2"/>
      <c r="O8" s="2"/>
      <c r="P8" s="2"/>
      <c r="Q8" s="2"/>
      <c r="R8" s="2"/>
      <c r="S8" s="2"/>
      <c r="T8" s="2"/>
      <c r="U8" s="2"/>
      <c r="V8" s="2"/>
      <c r="W8" s="2"/>
      <c r="X8" s="2"/>
      <c r="Y8" s="2"/>
    </row>
    <row r="9" ht="22.5" customHeight="1">
      <c r="A9" s="38" t="s">
        <v>119</v>
      </c>
      <c r="B9" s="21" t="s">
        <v>120</v>
      </c>
      <c r="C9" s="21"/>
      <c r="D9" s="26"/>
      <c r="E9" s="21"/>
      <c r="F9" s="28"/>
      <c r="G9" s="2"/>
      <c r="H9" s="2"/>
      <c r="I9" s="2"/>
      <c r="J9" s="2"/>
      <c r="K9" s="2"/>
      <c r="L9" s="2"/>
      <c r="M9" s="2"/>
      <c r="N9" s="2"/>
      <c r="O9" s="2"/>
      <c r="P9" s="2"/>
      <c r="Q9" s="2"/>
      <c r="R9" s="2"/>
      <c r="S9" s="2"/>
      <c r="T9" s="2"/>
      <c r="U9" s="2"/>
      <c r="V9" s="2"/>
      <c r="W9" s="2"/>
      <c r="X9" s="2"/>
      <c r="Y9" s="2"/>
    </row>
    <row r="10" ht="22.5" customHeight="1">
      <c r="A10" s="38" t="s">
        <v>123</v>
      </c>
      <c r="B10" s="21" t="s">
        <v>124</v>
      </c>
      <c r="C10" s="27"/>
      <c r="D10" s="26"/>
      <c r="E10" s="27"/>
      <c r="F10" s="28"/>
      <c r="G10" s="2"/>
      <c r="H10" s="2"/>
      <c r="I10" s="2"/>
      <c r="J10" s="2"/>
      <c r="K10" s="2"/>
      <c r="L10" s="2"/>
      <c r="M10" s="2"/>
      <c r="N10" s="2"/>
      <c r="O10" s="2"/>
      <c r="P10" s="2"/>
      <c r="Q10" s="2"/>
      <c r="R10" s="2"/>
      <c r="S10" s="2"/>
      <c r="T10" s="2"/>
      <c r="U10" s="2"/>
      <c r="V10" s="2"/>
      <c r="W10" s="2"/>
      <c r="X10" s="2"/>
      <c r="Y10" s="2"/>
    </row>
    <row r="11" ht="22.5" customHeight="1">
      <c r="A11" s="38" t="s">
        <v>129</v>
      </c>
      <c r="B11" s="21" t="s">
        <v>131</v>
      </c>
      <c r="C11" s="21" t="s">
        <v>132</v>
      </c>
      <c r="D11" s="26"/>
      <c r="E11" s="27"/>
      <c r="F11" s="28"/>
      <c r="G11" s="2"/>
      <c r="H11" s="2"/>
      <c r="I11" s="2"/>
      <c r="J11" s="2"/>
      <c r="K11" s="2"/>
      <c r="L11" s="2"/>
      <c r="M11" s="2"/>
      <c r="N11" s="2"/>
      <c r="O11" s="2"/>
      <c r="P11" s="2"/>
      <c r="Q11" s="2"/>
      <c r="R11" s="2"/>
      <c r="S11" s="2"/>
      <c r="T11" s="2"/>
      <c r="U11" s="2"/>
      <c r="V11" s="2"/>
      <c r="W11" s="2"/>
      <c r="X11" s="2"/>
      <c r="Y11" s="2"/>
    </row>
    <row r="12" ht="22.5" customHeight="1">
      <c r="A12" s="38" t="s">
        <v>135</v>
      </c>
      <c r="B12" s="21" t="s">
        <v>136</v>
      </c>
      <c r="C12" s="56" t="s">
        <v>137</v>
      </c>
      <c r="D12" s="26"/>
      <c r="E12" s="21"/>
      <c r="F12" s="47"/>
      <c r="G12" s="2"/>
      <c r="H12" s="2"/>
      <c r="I12" s="2"/>
      <c r="J12" s="2"/>
      <c r="K12" s="2"/>
      <c r="L12" s="2"/>
      <c r="M12" s="2"/>
      <c r="N12" s="2"/>
      <c r="O12" s="2"/>
      <c r="P12" s="2"/>
      <c r="Q12" s="2"/>
      <c r="R12" s="2"/>
      <c r="S12" s="2"/>
      <c r="T12" s="2"/>
      <c r="U12" s="2"/>
      <c r="V12" s="2"/>
      <c r="W12" s="2"/>
      <c r="X12" s="2"/>
      <c r="Y12" s="2"/>
    </row>
    <row r="13" ht="22.5" customHeight="1">
      <c r="A13" s="38" t="s">
        <v>140</v>
      </c>
      <c r="B13" s="21" t="s">
        <v>143</v>
      </c>
      <c r="C13" s="56"/>
      <c r="D13" s="26"/>
      <c r="E13" s="21"/>
      <c r="F13" s="47"/>
      <c r="G13" s="2"/>
      <c r="H13" s="2"/>
      <c r="I13" s="2"/>
      <c r="J13" s="2"/>
      <c r="K13" s="2"/>
      <c r="L13" s="2"/>
      <c r="M13" s="2"/>
      <c r="N13" s="2"/>
      <c r="O13" s="2"/>
      <c r="P13" s="2"/>
      <c r="Q13" s="2"/>
      <c r="R13" s="2"/>
      <c r="S13" s="2"/>
      <c r="T13" s="2"/>
      <c r="U13" s="2"/>
      <c r="V13" s="2"/>
      <c r="W13" s="2"/>
      <c r="X13" s="2"/>
      <c r="Y13" s="2"/>
    </row>
    <row r="14" ht="22.5" customHeight="1">
      <c r="A14" s="38" t="s">
        <v>146</v>
      </c>
      <c r="B14" s="21" t="s">
        <v>147</v>
      </c>
      <c r="C14" s="21"/>
      <c r="D14" s="26"/>
      <c r="E14" s="21"/>
      <c r="F14" s="47"/>
      <c r="G14" s="2"/>
      <c r="H14" s="2"/>
      <c r="I14" s="2"/>
      <c r="J14" s="2"/>
      <c r="K14" s="2"/>
      <c r="L14" s="2"/>
      <c r="M14" s="2"/>
      <c r="N14" s="2"/>
      <c r="O14" s="2"/>
      <c r="P14" s="2"/>
      <c r="Q14" s="2"/>
      <c r="R14" s="2"/>
      <c r="S14" s="2"/>
      <c r="T14" s="2"/>
      <c r="U14" s="2"/>
      <c r="V14" s="2"/>
      <c r="W14" s="2"/>
      <c r="X14" s="2"/>
      <c r="Y14" s="2"/>
    </row>
    <row r="15" ht="22.5" customHeight="1">
      <c r="A15" s="38" t="s">
        <v>126</v>
      </c>
      <c r="B15" s="59" t="s">
        <v>150</v>
      </c>
      <c r="C15" s="27"/>
      <c r="D15" s="26"/>
      <c r="E15" s="27"/>
      <c r="F15" s="28"/>
      <c r="G15" s="2"/>
      <c r="H15" s="2"/>
      <c r="I15" s="2"/>
      <c r="J15" s="2"/>
      <c r="K15" s="2"/>
      <c r="L15" s="2"/>
      <c r="M15" s="2"/>
      <c r="N15" s="2"/>
      <c r="O15" s="2"/>
      <c r="P15" s="2"/>
      <c r="Q15" s="2"/>
      <c r="R15" s="2"/>
      <c r="S15" s="2"/>
      <c r="T15" s="2"/>
      <c r="U15" s="2"/>
      <c r="V15" s="2"/>
      <c r="W15" s="2"/>
      <c r="X15" s="2"/>
      <c r="Y15" s="2"/>
    </row>
    <row r="16" ht="22.5" customHeight="1">
      <c r="A16" s="38" t="s">
        <v>154</v>
      </c>
      <c r="B16" s="27"/>
      <c r="C16" s="27"/>
      <c r="D16" s="26"/>
      <c r="E16" s="27"/>
      <c r="F16" s="28"/>
      <c r="G16" s="2"/>
      <c r="H16" s="2"/>
      <c r="I16" s="2"/>
      <c r="J16" s="2"/>
      <c r="K16" s="2"/>
      <c r="L16" s="2"/>
      <c r="M16" s="2"/>
      <c r="N16" s="2"/>
      <c r="O16" s="2"/>
      <c r="P16" s="2"/>
      <c r="Q16" s="2"/>
      <c r="R16" s="2"/>
      <c r="S16" s="2"/>
      <c r="T16" s="2"/>
      <c r="U16" s="2"/>
      <c r="V16" s="2"/>
      <c r="W16" s="2"/>
      <c r="X16" s="2"/>
      <c r="Y16" s="2"/>
    </row>
    <row r="17" ht="22.5" customHeight="1">
      <c r="A17" s="38" t="s">
        <v>155</v>
      </c>
      <c r="B17" s="21"/>
      <c r="C17" s="27"/>
      <c r="D17" s="26"/>
      <c r="E17" s="27"/>
      <c r="F17" s="28"/>
      <c r="G17" s="2"/>
      <c r="H17" s="2"/>
      <c r="I17" s="2"/>
      <c r="J17" s="2"/>
      <c r="K17" s="2"/>
      <c r="L17" s="2"/>
      <c r="M17" s="2"/>
      <c r="N17" s="2"/>
      <c r="O17" s="2"/>
      <c r="P17" s="2"/>
      <c r="Q17" s="2"/>
      <c r="R17" s="2"/>
      <c r="S17" s="2"/>
      <c r="T17" s="2"/>
      <c r="U17" s="2"/>
      <c r="V17" s="2"/>
      <c r="W17" s="2"/>
      <c r="X17" s="2"/>
      <c r="Y17" s="2"/>
    </row>
    <row r="18" ht="22.5" customHeight="1">
      <c r="A18" s="38" t="s">
        <v>156</v>
      </c>
      <c r="B18" s="21"/>
      <c r="C18" s="27"/>
      <c r="D18" s="26"/>
      <c r="E18" s="27"/>
      <c r="F18" s="28"/>
      <c r="G18" s="2"/>
      <c r="H18" s="2"/>
      <c r="I18" s="2"/>
      <c r="J18" s="2"/>
      <c r="K18" s="2"/>
      <c r="L18" s="2"/>
      <c r="M18" s="2"/>
      <c r="N18" s="2"/>
      <c r="O18" s="2"/>
      <c r="P18" s="2"/>
      <c r="Q18" s="2"/>
      <c r="R18" s="2"/>
      <c r="S18" s="2"/>
      <c r="T18" s="2"/>
      <c r="U18" s="2"/>
      <c r="V18" s="2"/>
      <c r="W18" s="2"/>
      <c r="X18" s="2"/>
      <c r="Y18" s="2"/>
    </row>
    <row r="19" ht="22.5" customHeight="1">
      <c r="A19" s="38" t="s">
        <v>157</v>
      </c>
      <c r="B19" s="27"/>
      <c r="C19" s="27"/>
      <c r="D19" s="26"/>
      <c r="E19" s="27"/>
      <c r="F19" s="28"/>
      <c r="G19" s="2"/>
      <c r="H19" s="2"/>
      <c r="I19" s="2"/>
      <c r="J19" s="2"/>
      <c r="K19" s="2"/>
      <c r="L19" s="2"/>
      <c r="M19" s="2"/>
      <c r="N19" s="2"/>
      <c r="O19" s="2"/>
      <c r="P19" s="2"/>
      <c r="Q19" s="2"/>
      <c r="R19" s="2"/>
      <c r="S19" s="2"/>
      <c r="T19" s="2"/>
      <c r="U19" s="2"/>
      <c r="V19" s="2"/>
      <c r="W19" s="2"/>
      <c r="X19" s="2"/>
      <c r="Y19" s="2"/>
    </row>
    <row r="20" ht="22.5" customHeight="1">
      <c r="A20" s="38" t="s">
        <v>158</v>
      </c>
      <c r="B20" s="27"/>
      <c r="C20" s="27"/>
      <c r="D20" s="26"/>
      <c r="E20" s="27"/>
      <c r="F20" s="28"/>
      <c r="G20" s="2"/>
      <c r="H20" s="2"/>
      <c r="I20" s="2"/>
      <c r="J20" s="2"/>
      <c r="K20" s="2"/>
      <c r="L20" s="2"/>
      <c r="M20" s="2"/>
      <c r="N20" s="2"/>
      <c r="O20" s="2"/>
      <c r="P20" s="2"/>
      <c r="Q20" s="2"/>
      <c r="R20" s="2"/>
      <c r="S20" s="2"/>
      <c r="T20" s="2"/>
      <c r="U20" s="2"/>
      <c r="V20" s="2"/>
      <c r="W20" s="2"/>
      <c r="X20" s="2"/>
      <c r="Y20" s="2"/>
    </row>
    <row r="21" ht="22.5" customHeight="1">
      <c r="A21" s="38" t="s">
        <v>159</v>
      </c>
      <c r="B21" s="27"/>
      <c r="C21" s="27"/>
      <c r="D21" s="26"/>
      <c r="E21" s="27"/>
      <c r="F21" s="28"/>
      <c r="G21" s="2"/>
      <c r="H21" s="2"/>
      <c r="I21" s="2"/>
      <c r="J21" s="2"/>
      <c r="K21" s="2"/>
      <c r="L21" s="2"/>
      <c r="M21" s="2"/>
      <c r="N21" s="2"/>
      <c r="O21" s="2"/>
      <c r="P21" s="2"/>
      <c r="Q21" s="2"/>
      <c r="R21" s="2"/>
      <c r="S21" s="2"/>
      <c r="T21" s="2"/>
      <c r="U21" s="2"/>
      <c r="V21" s="2"/>
      <c r="W21" s="2"/>
      <c r="X21" s="2"/>
      <c r="Y21" s="2"/>
    </row>
    <row r="22" ht="22.5" customHeight="1">
      <c r="A22" s="38" t="s">
        <v>160</v>
      </c>
      <c r="B22" s="27"/>
      <c r="C22" s="27"/>
      <c r="D22" s="26"/>
      <c r="E22" s="27"/>
      <c r="F22" s="28"/>
      <c r="G22" s="2"/>
      <c r="H22" s="2"/>
      <c r="I22" s="2"/>
      <c r="J22" s="2"/>
      <c r="K22" s="2"/>
      <c r="L22" s="2"/>
      <c r="M22" s="2"/>
      <c r="N22" s="2"/>
      <c r="O22" s="2"/>
      <c r="P22" s="2"/>
      <c r="Q22" s="2"/>
      <c r="R22" s="2"/>
      <c r="S22" s="2"/>
      <c r="T22" s="2"/>
      <c r="U22" s="2"/>
      <c r="V22" s="2"/>
      <c r="W22" s="2"/>
      <c r="X22" s="2"/>
      <c r="Y22" s="2"/>
    </row>
    <row r="23" ht="22.5" customHeight="1">
      <c r="A23" s="38" t="s">
        <v>161</v>
      </c>
      <c r="B23" s="27"/>
      <c r="C23" s="27"/>
      <c r="D23" s="26"/>
      <c r="E23" s="27"/>
      <c r="F23" s="28"/>
      <c r="G23" s="2"/>
      <c r="H23" s="2"/>
      <c r="I23" s="2"/>
      <c r="J23" s="2"/>
      <c r="K23" s="2"/>
      <c r="L23" s="2"/>
      <c r="M23" s="2"/>
      <c r="N23" s="2"/>
      <c r="O23" s="2"/>
      <c r="P23" s="2"/>
      <c r="Q23" s="2"/>
      <c r="R23" s="2"/>
      <c r="S23" s="2"/>
      <c r="T23" s="2"/>
      <c r="U23" s="2"/>
      <c r="V23" s="2"/>
      <c r="W23" s="2"/>
      <c r="X23" s="2"/>
      <c r="Y23" s="2"/>
    </row>
    <row r="24" ht="22.5" customHeight="1">
      <c r="A24" s="38" t="s">
        <v>162</v>
      </c>
      <c r="B24" s="27"/>
      <c r="C24" s="27"/>
      <c r="D24" s="26"/>
      <c r="E24" s="27"/>
      <c r="F24" s="28"/>
      <c r="G24" s="2"/>
      <c r="H24" s="2"/>
      <c r="I24" s="2"/>
      <c r="J24" s="2"/>
      <c r="K24" s="2"/>
      <c r="L24" s="2"/>
      <c r="M24" s="2"/>
      <c r="N24" s="2"/>
      <c r="O24" s="2"/>
      <c r="P24" s="2"/>
      <c r="Q24" s="2"/>
      <c r="R24" s="2"/>
      <c r="S24" s="2"/>
      <c r="T24" s="2"/>
      <c r="U24" s="2"/>
      <c r="V24" s="2"/>
      <c r="W24" s="2"/>
      <c r="X24" s="2"/>
      <c r="Y24" s="2"/>
    </row>
    <row r="25" ht="22.5" customHeight="1">
      <c r="A25" s="38" t="s">
        <v>163</v>
      </c>
      <c r="B25" s="27"/>
      <c r="C25" s="27"/>
      <c r="D25" s="26"/>
      <c r="E25" s="27"/>
      <c r="F25" s="28"/>
      <c r="G25" s="2"/>
      <c r="H25" s="2"/>
      <c r="I25" s="2"/>
      <c r="J25" s="2"/>
      <c r="K25" s="2"/>
      <c r="L25" s="2"/>
      <c r="M25" s="2"/>
      <c r="N25" s="2"/>
      <c r="O25" s="2"/>
      <c r="P25" s="2"/>
      <c r="Q25" s="2"/>
      <c r="R25" s="2"/>
      <c r="S25" s="2"/>
      <c r="T25" s="2"/>
      <c r="U25" s="2"/>
      <c r="V25" s="2"/>
      <c r="W25" s="2"/>
      <c r="X25" s="2"/>
      <c r="Y25" s="2"/>
    </row>
    <row r="26" ht="22.5" customHeight="1">
      <c r="A26" s="38" t="s">
        <v>164</v>
      </c>
      <c r="B26" s="27"/>
      <c r="C26" s="27"/>
      <c r="D26" s="26"/>
      <c r="E26" s="27"/>
      <c r="F26" s="28"/>
      <c r="G26" s="2"/>
      <c r="H26" s="2"/>
      <c r="I26" s="2"/>
      <c r="J26" s="2"/>
      <c r="K26" s="2"/>
      <c r="L26" s="2"/>
      <c r="M26" s="2"/>
      <c r="N26" s="2"/>
      <c r="O26" s="2"/>
      <c r="P26" s="2"/>
      <c r="Q26" s="2"/>
      <c r="R26" s="2"/>
      <c r="S26" s="2"/>
      <c r="T26" s="2"/>
      <c r="U26" s="2"/>
      <c r="V26" s="2"/>
      <c r="W26" s="2"/>
      <c r="X26" s="2"/>
      <c r="Y26" s="2"/>
    </row>
    <row r="27" ht="22.5" customHeight="1">
      <c r="A27" s="38" t="s">
        <v>168</v>
      </c>
      <c r="B27" s="27"/>
      <c r="C27" s="27"/>
      <c r="D27" s="26"/>
      <c r="E27" s="27"/>
      <c r="F27" s="28"/>
      <c r="G27" s="2"/>
      <c r="H27" s="2"/>
      <c r="I27" s="2"/>
      <c r="J27" s="2"/>
      <c r="K27" s="2"/>
      <c r="L27" s="2"/>
      <c r="M27" s="2"/>
      <c r="N27" s="2"/>
      <c r="O27" s="2"/>
      <c r="P27" s="2"/>
      <c r="Q27" s="2"/>
      <c r="R27" s="2"/>
      <c r="S27" s="2"/>
      <c r="T27" s="2"/>
      <c r="U27" s="2"/>
      <c r="V27" s="2"/>
      <c r="W27" s="2"/>
      <c r="X27" s="2"/>
      <c r="Y27" s="2"/>
    </row>
    <row r="28" ht="22.5" customHeight="1">
      <c r="A28" s="38" t="s">
        <v>169</v>
      </c>
      <c r="B28" s="27"/>
      <c r="C28" s="27"/>
      <c r="D28" s="26"/>
      <c r="E28" s="27"/>
      <c r="F28" s="28"/>
      <c r="G28" s="2"/>
      <c r="H28" s="2"/>
      <c r="I28" s="2"/>
      <c r="J28" s="2"/>
      <c r="K28" s="2"/>
      <c r="L28" s="2"/>
      <c r="M28" s="2"/>
      <c r="N28" s="2"/>
      <c r="O28" s="2"/>
      <c r="P28" s="2"/>
      <c r="Q28" s="2"/>
      <c r="R28" s="2"/>
      <c r="S28" s="2"/>
      <c r="T28" s="2"/>
      <c r="U28" s="2"/>
      <c r="V28" s="2"/>
      <c r="W28" s="2"/>
      <c r="X28" s="2"/>
      <c r="Y28" s="2"/>
    </row>
    <row r="29" ht="22.5" customHeight="1">
      <c r="A29" s="38" t="s">
        <v>170</v>
      </c>
      <c r="B29" s="27"/>
      <c r="C29" s="27"/>
      <c r="D29" s="26"/>
      <c r="E29" s="27"/>
      <c r="F29" s="28"/>
      <c r="G29" s="2"/>
      <c r="H29" s="2"/>
      <c r="I29" s="2"/>
      <c r="J29" s="2"/>
      <c r="K29" s="2"/>
      <c r="L29" s="2"/>
      <c r="M29" s="2"/>
      <c r="N29" s="2"/>
      <c r="O29" s="2"/>
      <c r="P29" s="2"/>
      <c r="Q29" s="2"/>
      <c r="R29" s="2"/>
      <c r="S29" s="2"/>
      <c r="T29" s="2"/>
      <c r="U29" s="2"/>
      <c r="V29" s="2"/>
      <c r="W29" s="2"/>
      <c r="X29" s="2"/>
      <c r="Y29" s="2"/>
    </row>
    <row r="30" ht="22.5" customHeight="1">
      <c r="A30" s="38" t="s">
        <v>171</v>
      </c>
      <c r="B30" s="27"/>
      <c r="C30" s="27"/>
      <c r="D30" s="26"/>
      <c r="E30" s="27"/>
      <c r="F30" s="28"/>
      <c r="G30" s="2"/>
      <c r="H30" s="2"/>
      <c r="I30" s="2"/>
      <c r="J30" s="2"/>
      <c r="K30" s="2"/>
      <c r="L30" s="2"/>
      <c r="M30" s="2"/>
      <c r="N30" s="2"/>
      <c r="O30" s="2"/>
      <c r="P30" s="2"/>
      <c r="Q30" s="2"/>
      <c r="R30" s="2"/>
      <c r="S30" s="2"/>
      <c r="T30" s="2"/>
      <c r="U30" s="2"/>
      <c r="V30" s="2"/>
      <c r="W30" s="2"/>
      <c r="X30" s="2"/>
      <c r="Y30" s="2"/>
    </row>
    <row r="31" ht="22.5" customHeight="1">
      <c r="A31" s="38" t="s">
        <v>174</v>
      </c>
      <c r="B31" s="27"/>
      <c r="C31" s="27"/>
      <c r="D31" s="26"/>
      <c r="E31" s="27"/>
      <c r="F31" s="28"/>
      <c r="G31" s="2"/>
      <c r="H31" s="2"/>
      <c r="I31" s="2"/>
      <c r="J31" s="2"/>
      <c r="K31" s="2"/>
      <c r="L31" s="2"/>
      <c r="M31" s="2"/>
      <c r="N31" s="2"/>
      <c r="O31" s="2"/>
      <c r="P31" s="2"/>
      <c r="Q31" s="2"/>
      <c r="R31" s="2"/>
      <c r="S31" s="2"/>
      <c r="T31" s="2"/>
      <c r="U31" s="2"/>
      <c r="V31" s="2"/>
      <c r="W31" s="2"/>
      <c r="X31" s="2"/>
      <c r="Y31" s="2"/>
    </row>
    <row r="32" ht="22.5" customHeight="1">
      <c r="A32" s="38" t="s">
        <v>175</v>
      </c>
      <c r="B32" s="27"/>
      <c r="C32" s="27"/>
      <c r="D32" s="26"/>
      <c r="E32" s="27"/>
      <c r="F32" s="28"/>
      <c r="G32" s="2"/>
      <c r="H32" s="2"/>
      <c r="I32" s="2"/>
      <c r="J32" s="2"/>
      <c r="K32" s="2"/>
      <c r="L32" s="2"/>
      <c r="M32" s="2"/>
      <c r="N32" s="2"/>
      <c r="O32" s="2"/>
      <c r="P32" s="2"/>
      <c r="Q32" s="2"/>
      <c r="R32" s="2"/>
      <c r="S32" s="2"/>
      <c r="T32" s="2"/>
      <c r="U32" s="2"/>
      <c r="V32" s="2"/>
      <c r="W32" s="2"/>
      <c r="X32" s="2"/>
      <c r="Y32" s="2"/>
    </row>
    <row r="33" ht="22.5" customHeight="1">
      <c r="A33" s="38" t="s">
        <v>176</v>
      </c>
      <c r="B33" s="27"/>
      <c r="C33" s="27"/>
      <c r="D33" s="26"/>
      <c r="E33" s="27"/>
      <c r="F33" s="28"/>
      <c r="G33" s="2"/>
      <c r="H33" s="2"/>
      <c r="I33" s="2"/>
      <c r="J33" s="2"/>
      <c r="K33" s="2"/>
      <c r="L33" s="2"/>
      <c r="M33" s="2"/>
      <c r="N33" s="2"/>
      <c r="O33" s="2"/>
      <c r="P33" s="2"/>
      <c r="Q33" s="2"/>
      <c r="R33" s="2"/>
      <c r="S33" s="2"/>
      <c r="T33" s="2"/>
      <c r="U33" s="2"/>
      <c r="V33" s="2"/>
      <c r="W33" s="2"/>
      <c r="X33" s="2"/>
      <c r="Y33" s="2"/>
    </row>
    <row r="34" ht="22.5" customHeight="1">
      <c r="A34" s="38" t="s">
        <v>179</v>
      </c>
      <c r="B34" s="27"/>
      <c r="C34" s="27"/>
      <c r="D34" s="26"/>
      <c r="E34" s="27"/>
      <c r="F34" s="28"/>
      <c r="G34" s="2"/>
      <c r="H34" s="2"/>
      <c r="I34" s="2"/>
      <c r="J34" s="2"/>
      <c r="K34" s="2"/>
      <c r="L34" s="2"/>
      <c r="M34" s="2"/>
      <c r="N34" s="2"/>
      <c r="O34" s="2"/>
      <c r="P34" s="2"/>
      <c r="Q34" s="2"/>
      <c r="R34" s="2"/>
      <c r="S34" s="2"/>
      <c r="T34" s="2"/>
      <c r="U34" s="2"/>
      <c r="V34" s="2"/>
      <c r="W34" s="2"/>
      <c r="X34" s="2"/>
      <c r="Y34" s="2"/>
    </row>
    <row r="35" ht="22.5" customHeight="1">
      <c r="A35" s="38" t="s">
        <v>181</v>
      </c>
      <c r="B35" s="27"/>
      <c r="C35" s="27"/>
      <c r="D35" s="26"/>
      <c r="E35" s="27"/>
      <c r="F35" s="28"/>
      <c r="G35" s="2"/>
      <c r="H35" s="2"/>
      <c r="I35" s="2"/>
      <c r="J35" s="2"/>
      <c r="K35" s="2"/>
      <c r="L35" s="2"/>
      <c r="M35" s="2"/>
      <c r="N35" s="2"/>
      <c r="O35" s="2"/>
      <c r="P35" s="2"/>
      <c r="Q35" s="2"/>
      <c r="R35" s="2"/>
      <c r="S35" s="2"/>
      <c r="T35" s="2"/>
      <c r="U35" s="2"/>
      <c r="V35" s="2"/>
      <c r="W35" s="2"/>
      <c r="X35" s="2"/>
      <c r="Y35" s="2"/>
    </row>
    <row r="36" ht="22.5" customHeight="1">
      <c r="A36" s="38" t="s">
        <v>184</v>
      </c>
      <c r="B36" s="27"/>
      <c r="C36" s="27"/>
      <c r="D36" s="26"/>
      <c r="E36" s="27"/>
      <c r="F36" s="28"/>
      <c r="G36" s="2"/>
      <c r="H36" s="2"/>
      <c r="I36" s="2"/>
      <c r="J36" s="2"/>
      <c r="K36" s="2"/>
      <c r="L36" s="2"/>
      <c r="M36" s="2"/>
      <c r="N36" s="2"/>
      <c r="O36" s="2"/>
      <c r="P36" s="2"/>
      <c r="Q36" s="2"/>
      <c r="R36" s="2"/>
      <c r="S36" s="2"/>
      <c r="T36" s="2"/>
      <c r="U36" s="2"/>
      <c r="V36" s="2"/>
      <c r="W36" s="2"/>
      <c r="X36" s="2"/>
      <c r="Y36" s="2"/>
    </row>
    <row r="37" ht="22.5" customHeight="1">
      <c r="A37" s="38" t="s">
        <v>187</v>
      </c>
      <c r="B37" s="27"/>
      <c r="C37" s="27"/>
      <c r="D37" s="26"/>
      <c r="E37" s="27"/>
      <c r="F37" s="28"/>
      <c r="G37" s="2"/>
      <c r="H37" s="2"/>
      <c r="I37" s="2"/>
      <c r="J37" s="2"/>
      <c r="K37" s="2"/>
      <c r="L37" s="2"/>
      <c r="M37" s="2"/>
      <c r="N37" s="2"/>
      <c r="O37" s="2"/>
      <c r="P37" s="2"/>
      <c r="Q37" s="2"/>
      <c r="R37" s="2"/>
      <c r="S37" s="2"/>
      <c r="T37" s="2"/>
      <c r="U37" s="2"/>
      <c r="V37" s="2"/>
      <c r="W37" s="2"/>
      <c r="X37" s="2"/>
      <c r="Y37" s="2"/>
    </row>
    <row r="38" ht="22.5" customHeight="1">
      <c r="A38" s="38" t="s">
        <v>190</v>
      </c>
      <c r="B38" s="27"/>
      <c r="C38" s="27"/>
      <c r="D38" s="26"/>
      <c r="E38" s="27"/>
      <c r="F38" s="28"/>
      <c r="G38" s="2"/>
      <c r="H38" s="2"/>
      <c r="I38" s="2"/>
      <c r="J38" s="2"/>
      <c r="K38" s="2"/>
      <c r="L38" s="2"/>
      <c r="M38" s="2"/>
      <c r="N38" s="2"/>
      <c r="O38" s="2"/>
      <c r="P38" s="2"/>
      <c r="Q38" s="2"/>
      <c r="R38" s="2"/>
      <c r="S38" s="2"/>
      <c r="T38" s="2"/>
      <c r="U38" s="2"/>
      <c r="V38" s="2"/>
      <c r="W38" s="2"/>
      <c r="X38" s="2"/>
      <c r="Y38" s="2"/>
    </row>
    <row r="39" ht="22.5" customHeight="1">
      <c r="A39" s="38" t="s">
        <v>193</v>
      </c>
      <c r="B39" s="27"/>
      <c r="C39" s="27"/>
      <c r="D39" s="26"/>
      <c r="E39" s="27"/>
      <c r="F39" s="28"/>
      <c r="G39" s="2"/>
      <c r="H39" s="2"/>
      <c r="I39" s="2"/>
      <c r="J39" s="2"/>
      <c r="K39" s="2"/>
      <c r="L39" s="2"/>
      <c r="M39" s="2"/>
      <c r="N39" s="2"/>
      <c r="O39" s="2"/>
      <c r="P39" s="2"/>
      <c r="Q39" s="2"/>
      <c r="R39" s="2"/>
      <c r="S39" s="2"/>
      <c r="T39" s="2"/>
      <c r="U39" s="2"/>
      <c r="V39" s="2"/>
      <c r="W39" s="2"/>
      <c r="X39" s="2"/>
      <c r="Y39" s="2"/>
    </row>
    <row r="40" ht="22.5" customHeight="1">
      <c r="A40" s="38" t="s">
        <v>195</v>
      </c>
      <c r="B40" s="27"/>
      <c r="C40" s="27"/>
      <c r="D40" s="26"/>
      <c r="E40" s="27"/>
      <c r="F40" s="28"/>
      <c r="G40" s="2"/>
      <c r="H40" s="2"/>
      <c r="I40" s="2"/>
      <c r="J40" s="2"/>
      <c r="K40" s="2"/>
      <c r="L40" s="2"/>
      <c r="M40" s="2"/>
      <c r="N40" s="2"/>
      <c r="O40" s="2"/>
      <c r="P40" s="2"/>
      <c r="Q40" s="2"/>
      <c r="R40" s="2"/>
      <c r="S40" s="2"/>
      <c r="T40" s="2"/>
      <c r="U40" s="2"/>
      <c r="V40" s="2"/>
      <c r="W40" s="2"/>
      <c r="X40" s="2"/>
      <c r="Y40" s="2"/>
    </row>
    <row r="41" ht="22.5" customHeight="1">
      <c r="A41" s="38" t="s">
        <v>198</v>
      </c>
      <c r="B41" s="27"/>
      <c r="C41" s="27"/>
      <c r="D41" s="26"/>
      <c r="E41" s="27"/>
      <c r="F41" s="28"/>
      <c r="G41" s="2"/>
      <c r="H41" s="2"/>
      <c r="I41" s="2"/>
      <c r="J41" s="2"/>
      <c r="K41" s="2"/>
      <c r="L41" s="2"/>
      <c r="M41" s="2"/>
      <c r="N41" s="2"/>
      <c r="O41" s="2"/>
      <c r="P41" s="2"/>
      <c r="Q41" s="2"/>
      <c r="R41" s="2"/>
      <c r="S41" s="2"/>
      <c r="T41" s="2"/>
      <c r="U41" s="2"/>
      <c r="V41" s="2"/>
      <c r="W41" s="2"/>
      <c r="X41" s="2"/>
      <c r="Y41" s="2"/>
    </row>
    <row r="42" ht="22.5" customHeight="1">
      <c r="A42" s="38" t="s">
        <v>200</v>
      </c>
      <c r="B42" s="27"/>
      <c r="C42" s="27"/>
      <c r="D42" s="26"/>
      <c r="E42" s="27"/>
      <c r="F42" s="28"/>
      <c r="G42" s="2"/>
      <c r="H42" s="2"/>
      <c r="I42" s="2"/>
      <c r="J42" s="2"/>
      <c r="K42" s="2"/>
      <c r="L42" s="2"/>
      <c r="M42" s="2"/>
      <c r="N42" s="2"/>
      <c r="O42" s="2"/>
      <c r="P42" s="2"/>
      <c r="Q42" s="2"/>
      <c r="R42" s="2"/>
      <c r="S42" s="2"/>
      <c r="T42" s="2"/>
      <c r="U42" s="2"/>
      <c r="V42" s="2"/>
      <c r="W42" s="2"/>
      <c r="X42" s="2"/>
      <c r="Y42" s="2"/>
    </row>
    <row r="43" ht="22.5" customHeight="1">
      <c r="A43" s="38" t="s">
        <v>205</v>
      </c>
      <c r="B43" s="27"/>
      <c r="C43" s="27"/>
      <c r="D43" s="26"/>
      <c r="E43" s="27"/>
      <c r="F43" s="28"/>
      <c r="G43" s="2"/>
      <c r="H43" s="2"/>
      <c r="I43" s="2"/>
      <c r="J43" s="2"/>
      <c r="K43" s="2"/>
      <c r="L43" s="2"/>
      <c r="M43" s="2"/>
      <c r="N43" s="2"/>
      <c r="O43" s="2"/>
      <c r="P43" s="2"/>
      <c r="Q43" s="2"/>
      <c r="R43" s="2"/>
      <c r="S43" s="2"/>
      <c r="T43" s="2"/>
      <c r="U43" s="2"/>
      <c r="V43" s="2"/>
      <c r="W43" s="2"/>
      <c r="X43" s="2"/>
      <c r="Y43" s="2"/>
    </row>
    <row r="44" ht="22.5" customHeight="1">
      <c r="A44" s="38" t="s">
        <v>206</v>
      </c>
      <c r="B44" s="27"/>
      <c r="C44" s="27"/>
      <c r="D44" s="26"/>
      <c r="E44" s="27"/>
      <c r="F44" s="28"/>
      <c r="G44" s="2"/>
      <c r="H44" s="2"/>
      <c r="I44" s="2"/>
      <c r="J44" s="2"/>
      <c r="K44" s="2"/>
      <c r="L44" s="2"/>
      <c r="M44" s="2"/>
      <c r="N44" s="2"/>
      <c r="O44" s="2"/>
      <c r="P44" s="2"/>
      <c r="Q44" s="2"/>
      <c r="R44" s="2"/>
      <c r="S44" s="2"/>
      <c r="T44" s="2"/>
      <c r="U44" s="2"/>
      <c r="V44" s="2"/>
      <c r="W44" s="2"/>
      <c r="X44" s="2"/>
      <c r="Y44" s="2"/>
    </row>
    <row r="45" ht="22.5" customHeight="1">
      <c r="A45" s="38" t="s">
        <v>207</v>
      </c>
      <c r="B45" s="27"/>
      <c r="C45" s="27"/>
      <c r="D45" s="26"/>
      <c r="E45" s="27"/>
      <c r="F45" s="28"/>
      <c r="G45" s="2"/>
      <c r="H45" s="2"/>
      <c r="I45" s="2"/>
      <c r="J45" s="2"/>
      <c r="K45" s="2"/>
      <c r="L45" s="2"/>
      <c r="M45" s="2"/>
      <c r="N45" s="2"/>
      <c r="O45" s="2"/>
      <c r="P45" s="2"/>
      <c r="Q45" s="2"/>
      <c r="R45" s="2"/>
      <c r="S45" s="2"/>
      <c r="T45" s="2"/>
      <c r="U45" s="2"/>
      <c r="V45" s="2"/>
      <c r="W45" s="2"/>
      <c r="X45" s="2"/>
      <c r="Y45" s="2"/>
    </row>
    <row r="46" ht="22.5" customHeight="1">
      <c r="A46" s="38" t="s">
        <v>208</v>
      </c>
      <c r="B46" s="27"/>
      <c r="C46" s="27"/>
      <c r="D46" s="26"/>
      <c r="E46" s="27"/>
      <c r="F46" s="28"/>
      <c r="G46" s="2"/>
      <c r="H46" s="2"/>
      <c r="I46" s="2"/>
      <c r="J46" s="2"/>
      <c r="K46" s="2"/>
      <c r="L46" s="2"/>
      <c r="M46" s="2"/>
      <c r="N46" s="2"/>
      <c r="O46" s="2"/>
      <c r="P46" s="2"/>
      <c r="Q46" s="2"/>
      <c r="R46" s="2"/>
      <c r="S46" s="2"/>
      <c r="T46" s="2"/>
      <c r="U46" s="2"/>
      <c r="V46" s="2"/>
      <c r="W46" s="2"/>
      <c r="X46" s="2"/>
      <c r="Y46" s="2"/>
    </row>
    <row r="47" ht="22.5" customHeight="1">
      <c r="A47" s="38" t="s">
        <v>209</v>
      </c>
      <c r="B47" s="27"/>
      <c r="C47" s="27"/>
      <c r="D47" s="26"/>
      <c r="E47" s="27"/>
      <c r="F47" s="28"/>
      <c r="G47" s="2"/>
      <c r="H47" s="2"/>
      <c r="I47" s="2"/>
      <c r="J47" s="2"/>
      <c r="K47" s="2"/>
      <c r="L47" s="2"/>
      <c r="M47" s="2"/>
      <c r="N47" s="2"/>
      <c r="O47" s="2"/>
      <c r="P47" s="2"/>
      <c r="Q47" s="2"/>
      <c r="R47" s="2"/>
      <c r="S47" s="2"/>
      <c r="T47" s="2"/>
      <c r="U47" s="2"/>
      <c r="V47" s="2"/>
      <c r="W47" s="2"/>
      <c r="X47" s="2"/>
      <c r="Y47" s="2"/>
    </row>
    <row r="48" ht="22.5" customHeight="1">
      <c r="A48" s="38" t="s">
        <v>210</v>
      </c>
      <c r="B48" s="27"/>
      <c r="C48" s="27"/>
      <c r="D48" s="26"/>
      <c r="E48" s="27"/>
      <c r="F48" s="28"/>
      <c r="G48" s="2"/>
      <c r="H48" s="2"/>
      <c r="I48" s="2"/>
      <c r="J48" s="2"/>
      <c r="K48" s="2"/>
      <c r="L48" s="2"/>
      <c r="M48" s="2"/>
      <c r="N48" s="2"/>
      <c r="O48" s="2"/>
      <c r="P48" s="2"/>
      <c r="Q48" s="2"/>
      <c r="R48" s="2"/>
      <c r="S48" s="2"/>
      <c r="T48" s="2"/>
      <c r="U48" s="2"/>
      <c r="V48" s="2"/>
      <c r="W48" s="2"/>
      <c r="X48" s="2"/>
      <c r="Y48" s="2"/>
    </row>
    <row r="49" ht="22.5" customHeight="1">
      <c r="A49" s="38" t="s">
        <v>211</v>
      </c>
      <c r="B49" s="27"/>
      <c r="C49" s="27"/>
      <c r="D49" s="26"/>
      <c r="E49" s="27"/>
      <c r="F49" s="28"/>
      <c r="G49" s="2"/>
      <c r="H49" s="2"/>
      <c r="I49" s="2"/>
      <c r="J49" s="2"/>
      <c r="K49" s="2"/>
      <c r="L49" s="2"/>
      <c r="M49" s="2"/>
      <c r="N49" s="2"/>
      <c r="O49" s="2"/>
      <c r="P49" s="2"/>
      <c r="Q49" s="2"/>
      <c r="R49" s="2"/>
      <c r="S49" s="2"/>
      <c r="T49" s="2"/>
      <c r="U49" s="2"/>
      <c r="V49" s="2"/>
      <c r="W49" s="2"/>
      <c r="X49" s="2"/>
      <c r="Y49" s="2"/>
    </row>
    <row r="50" ht="22.5" customHeight="1">
      <c r="A50" s="38" t="s">
        <v>212</v>
      </c>
      <c r="B50" s="27"/>
      <c r="C50" s="27"/>
      <c r="D50" s="26"/>
      <c r="E50" s="27"/>
      <c r="F50" s="28"/>
      <c r="G50" s="2"/>
      <c r="H50" s="2"/>
      <c r="I50" s="2"/>
      <c r="J50" s="2"/>
      <c r="K50" s="2"/>
      <c r="L50" s="2"/>
      <c r="M50" s="2"/>
      <c r="N50" s="2"/>
      <c r="O50" s="2"/>
      <c r="P50" s="2"/>
      <c r="Q50" s="2"/>
      <c r="R50" s="2"/>
      <c r="S50" s="2"/>
      <c r="T50" s="2"/>
      <c r="U50" s="2"/>
      <c r="V50" s="2"/>
      <c r="W50" s="2"/>
      <c r="X50" s="2"/>
      <c r="Y50" s="2"/>
    </row>
    <row r="51" ht="22.5" customHeight="1">
      <c r="A51" s="38" t="s">
        <v>213</v>
      </c>
      <c r="B51" s="27"/>
      <c r="C51" s="27"/>
      <c r="D51" s="26"/>
      <c r="E51" s="27"/>
      <c r="F51" s="28"/>
      <c r="G51" s="2"/>
      <c r="H51" s="2"/>
      <c r="I51" s="2"/>
      <c r="J51" s="2"/>
      <c r="K51" s="2"/>
      <c r="L51" s="2"/>
      <c r="M51" s="2"/>
      <c r="N51" s="2"/>
      <c r="O51" s="2"/>
      <c r="P51" s="2"/>
      <c r="Q51" s="2"/>
      <c r="R51" s="2"/>
      <c r="S51" s="2"/>
      <c r="T51" s="2"/>
      <c r="U51" s="2"/>
      <c r="V51" s="2"/>
      <c r="W51" s="2"/>
      <c r="X51" s="2"/>
      <c r="Y51" s="2"/>
    </row>
    <row r="52" ht="22.5" customHeight="1">
      <c r="A52" s="38" t="s">
        <v>214</v>
      </c>
      <c r="B52" s="27"/>
      <c r="C52" s="27"/>
      <c r="D52" s="26"/>
      <c r="E52" s="27"/>
      <c r="F52" s="28"/>
      <c r="G52" s="2"/>
      <c r="H52" s="2"/>
      <c r="I52" s="2"/>
      <c r="J52" s="2"/>
      <c r="K52" s="2"/>
      <c r="L52" s="2"/>
      <c r="M52" s="2"/>
      <c r="N52" s="2"/>
      <c r="O52" s="2"/>
      <c r="P52" s="2"/>
      <c r="Q52" s="2"/>
      <c r="R52" s="2"/>
      <c r="S52" s="2"/>
      <c r="T52" s="2"/>
      <c r="U52" s="2"/>
      <c r="V52" s="2"/>
      <c r="W52" s="2"/>
      <c r="X52" s="2"/>
      <c r="Y52" s="2"/>
    </row>
    <row r="53" ht="22.5" customHeight="1">
      <c r="A53" s="38" t="s">
        <v>215</v>
      </c>
      <c r="B53" s="27"/>
      <c r="C53" s="27"/>
      <c r="D53" s="26"/>
      <c r="E53" s="27"/>
      <c r="F53" s="28"/>
      <c r="G53" s="2"/>
      <c r="H53" s="2"/>
      <c r="I53" s="2"/>
      <c r="J53" s="2"/>
      <c r="K53" s="2"/>
      <c r="L53" s="2"/>
      <c r="M53" s="2"/>
      <c r="N53" s="2"/>
      <c r="O53" s="2"/>
      <c r="P53" s="2"/>
      <c r="Q53" s="2"/>
      <c r="R53" s="2"/>
      <c r="S53" s="2"/>
      <c r="T53" s="2"/>
      <c r="U53" s="2"/>
      <c r="V53" s="2"/>
      <c r="W53" s="2"/>
      <c r="X53" s="2"/>
      <c r="Y53" s="2"/>
    </row>
    <row r="54" ht="22.5" customHeight="1">
      <c r="A54" s="38" t="s">
        <v>216</v>
      </c>
      <c r="B54" s="27"/>
      <c r="C54" s="27"/>
      <c r="D54" s="26"/>
      <c r="E54" s="27"/>
      <c r="F54" s="28"/>
      <c r="G54" s="2"/>
      <c r="H54" s="2"/>
      <c r="I54" s="2"/>
      <c r="J54" s="2"/>
      <c r="K54" s="2"/>
      <c r="L54" s="2"/>
      <c r="M54" s="2"/>
      <c r="N54" s="2"/>
      <c r="O54" s="2"/>
      <c r="P54" s="2"/>
      <c r="Q54" s="2"/>
      <c r="R54" s="2"/>
      <c r="S54" s="2"/>
      <c r="T54" s="2"/>
      <c r="U54" s="2"/>
      <c r="V54" s="2"/>
      <c r="W54" s="2"/>
      <c r="X54" s="2"/>
      <c r="Y54" s="2"/>
    </row>
    <row r="55" ht="22.5" customHeight="1">
      <c r="A55" s="38" t="s">
        <v>217</v>
      </c>
      <c r="B55" s="27"/>
      <c r="C55" s="27"/>
      <c r="D55" s="26"/>
      <c r="E55" s="27"/>
      <c r="F55" s="28"/>
      <c r="G55" s="2"/>
      <c r="H55" s="2"/>
      <c r="I55" s="2"/>
      <c r="J55" s="2"/>
      <c r="K55" s="2"/>
      <c r="L55" s="2"/>
      <c r="M55" s="2"/>
      <c r="N55" s="2"/>
      <c r="O55" s="2"/>
      <c r="P55" s="2"/>
      <c r="Q55" s="2"/>
      <c r="R55" s="2"/>
      <c r="S55" s="2"/>
      <c r="T55" s="2"/>
      <c r="U55" s="2"/>
      <c r="V55" s="2"/>
      <c r="W55" s="2"/>
      <c r="X55" s="2"/>
      <c r="Y55" s="2"/>
    </row>
    <row r="56" ht="22.5" customHeight="1">
      <c r="A56" s="38" t="s">
        <v>218</v>
      </c>
      <c r="B56" s="27"/>
      <c r="C56" s="27"/>
      <c r="D56" s="26"/>
      <c r="E56" s="27"/>
      <c r="F56" s="28"/>
      <c r="G56" s="2"/>
      <c r="H56" s="2"/>
      <c r="I56" s="2"/>
      <c r="J56" s="2"/>
      <c r="K56" s="2"/>
      <c r="L56" s="2"/>
      <c r="M56" s="2"/>
      <c r="N56" s="2"/>
      <c r="O56" s="2"/>
      <c r="P56" s="2"/>
      <c r="Q56" s="2"/>
      <c r="R56" s="2"/>
      <c r="S56" s="2"/>
      <c r="T56" s="2"/>
      <c r="U56" s="2"/>
      <c r="V56" s="2"/>
      <c r="W56" s="2"/>
      <c r="X56" s="2"/>
      <c r="Y56" s="2"/>
    </row>
    <row r="57" ht="22.5" customHeight="1">
      <c r="A57" s="38" t="s">
        <v>219</v>
      </c>
      <c r="B57" s="27"/>
      <c r="C57" s="27"/>
      <c r="D57" s="26"/>
      <c r="E57" s="27"/>
      <c r="F57" s="28"/>
      <c r="G57" s="2"/>
      <c r="H57" s="2"/>
      <c r="I57" s="2"/>
      <c r="J57" s="2"/>
      <c r="K57" s="2"/>
      <c r="L57" s="2"/>
      <c r="M57" s="2"/>
      <c r="N57" s="2"/>
      <c r="O57" s="2"/>
      <c r="P57" s="2"/>
      <c r="Q57" s="2"/>
      <c r="R57" s="2"/>
      <c r="S57" s="2"/>
      <c r="T57" s="2"/>
      <c r="U57" s="2"/>
      <c r="V57" s="2"/>
      <c r="W57" s="2"/>
      <c r="X57" s="2"/>
      <c r="Y57" s="2"/>
    </row>
    <row r="58" ht="22.5" customHeight="1">
      <c r="A58" s="38" t="s">
        <v>220</v>
      </c>
      <c r="B58" s="27"/>
      <c r="C58" s="27"/>
      <c r="D58" s="26"/>
      <c r="E58" s="27"/>
      <c r="F58" s="28"/>
      <c r="G58" s="2"/>
      <c r="H58" s="2"/>
      <c r="I58" s="2"/>
      <c r="J58" s="2"/>
      <c r="K58" s="2"/>
      <c r="L58" s="2"/>
      <c r="M58" s="2"/>
      <c r="N58" s="2"/>
      <c r="O58" s="2"/>
      <c r="P58" s="2"/>
      <c r="Q58" s="2"/>
      <c r="R58" s="2"/>
      <c r="S58" s="2"/>
      <c r="T58" s="2"/>
      <c r="U58" s="2"/>
      <c r="V58" s="2"/>
      <c r="W58" s="2"/>
      <c r="X58" s="2"/>
      <c r="Y58" s="2"/>
    </row>
    <row r="59" ht="22.5" customHeight="1">
      <c r="A59" s="38" t="s">
        <v>221</v>
      </c>
      <c r="B59" s="27"/>
      <c r="C59" s="27"/>
      <c r="D59" s="26"/>
      <c r="E59" s="27"/>
      <c r="F59" s="28"/>
      <c r="G59" s="2"/>
      <c r="H59" s="2"/>
      <c r="I59" s="2"/>
      <c r="J59" s="2"/>
      <c r="K59" s="2"/>
      <c r="L59" s="2"/>
      <c r="M59" s="2"/>
      <c r="N59" s="2"/>
      <c r="O59" s="2"/>
      <c r="P59" s="2"/>
      <c r="Q59" s="2"/>
      <c r="R59" s="2"/>
      <c r="S59" s="2"/>
      <c r="T59" s="2"/>
      <c r="U59" s="2"/>
      <c r="V59" s="2"/>
      <c r="W59" s="2"/>
      <c r="X59" s="2"/>
      <c r="Y59" s="2"/>
    </row>
    <row r="60" ht="22.5" customHeight="1">
      <c r="A60" s="38" t="s">
        <v>222</v>
      </c>
      <c r="B60" s="27"/>
      <c r="C60" s="27"/>
      <c r="D60" s="26"/>
      <c r="E60" s="27"/>
      <c r="F60" s="28"/>
      <c r="G60" s="2"/>
      <c r="H60" s="2"/>
      <c r="I60" s="2"/>
      <c r="J60" s="2"/>
      <c r="K60" s="2"/>
      <c r="L60" s="2"/>
      <c r="M60" s="2"/>
      <c r="N60" s="2"/>
      <c r="O60" s="2"/>
      <c r="P60" s="2"/>
      <c r="Q60" s="2"/>
      <c r="R60" s="2"/>
      <c r="S60" s="2"/>
      <c r="T60" s="2"/>
      <c r="U60" s="2"/>
      <c r="V60" s="2"/>
      <c r="W60" s="2"/>
      <c r="X60" s="2"/>
      <c r="Y60" s="2"/>
    </row>
    <row r="61" ht="22.5" customHeight="1">
      <c r="A61" s="38" t="s">
        <v>223</v>
      </c>
      <c r="B61" s="27"/>
      <c r="C61" s="27"/>
      <c r="D61" s="26"/>
      <c r="E61" s="27"/>
      <c r="F61" s="28"/>
      <c r="G61" s="2"/>
      <c r="H61" s="2"/>
      <c r="I61" s="2"/>
      <c r="J61" s="2"/>
      <c r="K61" s="2"/>
      <c r="L61" s="2"/>
      <c r="M61" s="2"/>
      <c r="N61" s="2"/>
      <c r="O61" s="2"/>
      <c r="P61" s="2"/>
      <c r="Q61" s="2"/>
      <c r="R61" s="2"/>
      <c r="S61" s="2"/>
      <c r="T61" s="2"/>
      <c r="U61" s="2"/>
      <c r="V61" s="2"/>
      <c r="W61" s="2"/>
      <c r="X61" s="2"/>
      <c r="Y61" s="2"/>
    </row>
    <row r="62" ht="22.5" customHeight="1">
      <c r="A62" s="38" t="s">
        <v>224</v>
      </c>
      <c r="B62" s="27"/>
      <c r="C62" s="27"/>
      <c r="D62" s="26"/>
      <c r="E62" s="27"/>
      <c r="F62" s="28"/>
      <c r="G62" s="2"/>
      <c r="H62" s="2"/>
      <c r="I62" s="2"/>
      <c r="J62" s="2"/>
      <c r="K62" s="2"/>
      <c r="L62" s="2"/>
      <c r="M62" s="2"/>
      <c r="N62" s="2"/>
      <c r="O62" s="2"/>
      <c r="P62" s="2"/>
      <c r="Q62" s="2"/>
      <c r="R62" s="2"/>
      <c r="S62" s="2"/>
      <c r="T62" s="2"/>
      <c r="U62" s="2"/>
      <c r="V62" s="2"/>
      <c r="W62" s="2"/>
      <c r="X62" s="2"/>
      <c r="Y62" s="2"/>
    </row>
    <row r="63" ht="22.5" customHeight="1">
      <c r="A63" s="38" t="s">
        <v>225</v>
      </c>
      <c r="B63" s="27"/>
      <c r="C63" s="27"/>
      <c r="D63" s="26"/>
      <c r="E63" s="27"/>
      <c r="F63" s="28"/>
      <c r="G63" s="2"/>
      <c r="H63" s="2"/>
      <c r="I63" s="2"/>
      <c r="J63" s="2"/>
      <c r="K63" s="2"/>
      <c r="L63" s="2"/>
      <c r="M63" s="2"/>
      <c r="N63" s="2"/>
      <c r="O63" s="2"/>
      <c r="P63" s="2"/>
      <c r="Q63" s="2"/>
      <c r="R63" s="2"/>
      <c r="S63" s="2"/>
      <c r="T63" s="2"/>
      <c r="U63" s="2"/>
      <c r="V63" s="2"/>
      <c r="W63" s="2"/>
      <c r="X63" s="2"/>
      <c r="Y63" s="2"/>
    </row>
    <row r="64" ht="22.5" customHeight="1">
      <c r="A64" s="38" t="s">
        <v>226</v>
      </c>
      <c r="B64" s="27"/>
      <c r="C64" s="27"/>
      <c r="D64" s="26"/>
      <c r="E64" s="27"/>
      <c r="F64" s="28"/>
      <c r="G64" s="2"/>
      <c r="H64" s="2"/>
      <c r="I64" s="2"/>
      <c r="J64" s="2"/>
      <c r="K64" s="2"/>
      <c r="L64" s="2"/>
      <c r="M64" s="2"/>
      <c r="N64" s="2"/>
      <c r="O64" s="2"/>
      <c r="P64" s="2"/>
      <c r="Q64" s="2"/>
      <c r="R64" s="2"/>
      <c r="S64" s="2"/>
      <c r="T64" s="2"/>
      <c r="U64" s="2"/>
      <c r="V64" s="2"/>
      <c r="W64" s="2"/>
      <c r="X64" s="2"/>
      <c r="Y64" s="2"/>
    </row>
    <row r="65" ht="22.5" customHeight="1">
      <c r="A65" s="38" t="s">
        <v>228</v>
      </c>
      <c r="B65" s="27"/>
      <c r="C65" s="27"/>
      <c r="D65" s="26"/>
      <c r="E65" s="27"/>
      <c r="F65" s="28"/>
      <c r="G65" s="2"/>
      <c r="H65" s="2"/>
      <c r="I65" s="2"/>
      <c r="J65" s="2"/>
      <c r="K65" s="2"/>
      <c r="L65" s="2"/>
      <c r="M65" s="2"/>
      <c r="N65" s="2"/>
      <c r="O65" s="2"/>
      <c r="P65" s="2"/>
      <c r="Q65" s="2"/>
      <c r="R65" s="2"/>
      <c r="S65" s="2"/>
      <c r="T65" s="2"/>
      <c r="U65" s="2"/>
      <c r="V65" s="2"/>
      <c r="W65" s="2"/>
      <c r="X65" s="2"/>
      <c r="Y65" s="2"/>
    </row>
    <row r="66" ht="22.5" customHeight="1">
      <c r="A66" s="38" t="s">
        <v>229</v>
      </c>
      <c r="B66" s="27"/>
      <c r="C66" s="27"/>
      <c r="D66" s="26"/>
      <c r="E66" s="27"/>
      <c r="F66" s="28"/>
      <c r="G66" s="2"/>
      <c r="H66" s="2"/>
      <c r="I66" s="2"/>
      <c r="J66" s="2"/>
      <c r="K66" s="2"/>
      <c r="L66" s="2"/>
      <c r="M66" s="2"/>
      <c r="N66" s="2"/>
      <c r="O66" s="2"/>
      <c r="P66" s="2"/>
      <c r="Q66" s="2"/>
      <c r="R66" s="2"/>
      <c r="S66" s="2"/>
      <c r="T66" s="2"/>
      <c r="U66" s="2"/>
      <c r="V66" s="2"/>
      <c r="W66" s="2"/>
      <c r="X66" s="2"/>
      <c r="Y66" s="2"/>
    </row>
    <row r="67" ht="22.5" customHeight="1">
      <c r="A67" s="38" t="s">
        <v>230</v>
      </c>
      <c r="B67" s="27"/>
      <c r="C67" s="27"/>
      <c r="D67" s="26"/>
      <c r="E67" s="27"/>
      <c r="F67" s="28"/>
      <c r="G67" s="2"/>
      <c r="H67" s="2"/>
      <c r="I67" s="2"/>
      <c r="J67" s="2"/>
      <c r="K67" s="2"/>
      <c r="L67" s="2"/>
      <c r="M67" s="2"/>
      <c r="N67" s="2"/>
      <c r="O67" s="2"/>
      <c r="P67" s="2"/>
      <c r="Q67" s="2"/>
      <c r="R67" s="2"/>
      <c r="S67" s="2"/>
      <c r="T67" s="2"/>
      <c r="U67" s="2"/>
      <c r="V67" s="2"/>
      <c r="W67" s="2"/>
      <c r="X67" s="2"/>
      <c r="Y67" s="2"/>
    </row>
    <row r="68" ht="22.5" customHeight="1">
      <c r="A68" s="38" t="s">
        <v>231</v>
      </c>
      <c r="B68" s="27"/>
      <c r="C68" s="27"/>
      <c r="D68" s="26"/>
      <c r="E68" s="27"/>
      <c r="F68" s="28"/>
      <c r="G68" s="2"/>
      <c r="H68" s="2"/>
      <c r="I68" s="2"/>
      <c r="J68" s="2"/>
      <c r="K68" s="2"/>
      <c r="L68" s="2"/>
      <c r="M68" s="2"/>
      <c r="N68" s="2"/>
      <c r="O68" s="2"/>
      <c r="P68" s="2"/>
      <c r="Q68" s="2"/>
      <c r="R68" s="2"/>
      <c r="S68" s="2"/>
      <c r="T68" s="2"/>
      <c r="U68" s="2"/>
      <c r="V68" s="2"/>
      <c r="W68" s="2"/>
      <c r="X68" s="2"/>
      <c r="Y68" s="2"/>
    </row>
    <row r="69" ht="22.5" customHeight="1">
      <c r="A69" s="38" t="s">
        <v>232</v>
      </c>
      <c r="B69" s="27"/>
      <c r="C69" s="27"/>
      <c r="D69" s="26"/>
      <c r="E69" s="27"/>
      <c r="F69" s="28"/>
      <c r="G69" s="2"/>
      <c r="H69" s="2"/>
      <c r="I69" s="2"/>
      <c r="J69" s="2"/>
      <c r="K69" s="2"/>
      <c r="L69" s="2"/>
      <c r="M69" s="2"/>
      <c r="N69" s="2"/>
      <c r="O69" s="2"/>
      <c r="P69" s="2"/>
      <c r="Q69" s="2"/>
      <c r="R69" s="2"/>
      <c r="S69" s="2"/>
      <c r="T69" s="2"/>
      <c r="U69" s="2"/>
      <c r="V69" s="2"/>
      <c r="W69" s="2"/>
      <c r="X69" s="2"/>
      <c r="Y69" s="2"/>
    </row>
    <row r="70" ht="22.5" customHeight="1">
      <c r="A70" s="38" t="s">
        <v>233</v>
      </c>
      <c r="B70" s="27"/>
      <c r="C70" s="27"/>
      <c r="D70" s="26"/>
      <c r="E70" s="27"/>
      <c r="F70" s="28"/>
      <c r="G70" s="2"/>
      <c r="H70" s="2"/>
      <c r="I70" s="2"/>
      <c r="J70" s="2"/>
      <c r="K70" s="2"/>
      <c r="L70" s="2"/>
      <c r="M70" s="2"/>
      <c r="N70" s="2"/>
      <c r="O70" s="2"/>
      <c r="P70" s="2"/>
      <c r="Q70" s="2"/>
      <c r="R70" s="2"/>
      <c r="S70" s="2"/>
      <c r="T70" s="2"/>
      <c r="U70" s="2"/>
      <c r="V70" s="2"/>
      <c r="W70" s="2"/>
      <c r="X70" s="2"/>
      <c r="Y70" s="2"/>
    </row>
    <row r="71" ht="22.5" customHeight="1">
      <c r="A71" s="38" t="s">
        <v>234</v>
      </c>
      <c r="B71" s="27"/>
      <c r="C71" s="27"/>
      <c r="D71" s="26"/>
      <c r="E71" s="27"/>
      <c r="F71" s="28"/>
      <c r="G71" s="2"/>
      <c r="H71" s="2"/>
      <c r="I71" s="2"/>
      <c r="J71" s="2"/>
      <c r="K71" s="2"/>
      <c r="L71" s="2"/>
      <c r="M71" s="2"/>
      <c r="N71" s="2"/>
      <c r="O71" s="2"/>
      <c r="P71" s="2"/>
      <c r="Q71" s="2"/>
      <c r="R71" s="2"/>
      <c r="S71" s="2"/>
      <c r="T71" s="2"/>
      <c r="U71" s="2"/>
      <c r="V71" s="2"/>
      <c r="W71" s="2"/>
      <c r="X71" s="2"/>
      <c r="Y71" s="2"/>
    </row>
    <row r="72" ht="22.5" customHeight="1">
      <c r="A72" s="38" t="s">
        <v>235</v>
      </c>
      <c r="B72" s="27"/>
      <c r="C72" s="27"/>
      <c r="D72" s="26"/>
      <c r="E72" s="27"/>
      <c r="F72" s="28"/>
      <c r="G72" s="2"/>
      <c r="H72" s="2"/>
      <c r="I72" s="2"/>
      <c r="J72" s="2"/>
      <c r="K72" s="2"/>
      <c r="L72" s="2"/>
      <c r="M72" s="2"/>
      <c r="N72" s="2"/>
      <c r="O72" s="2"/>
      <c r="P72" s="2"/>
      <c r="Q72" s="2"/>
      <c r="R72" s="2"/>
      <c r="S72" s="2"/>
      <c r="T72" s="2"/>
      <c r="U72" s="2"/>
      <c r="V72" s="2"/>
      <c r="W72" s="2"/>
      <c r="X72" s="2"/>
      <c r="Y72" s="2"/>
    </row>
    <row r="73" ht="22.5" customHeight="1">
      <c r="A73" s="38" t="s">
        <v>236</v>
      </c>
      <c r="B73" s="27"/>
      <c r="C73" s="27"/>
      <c r="D73" s="26"/>
      <c r="E73" s="27"/>
      <c r="F73" s="28"/>
      <c r="G73" s="2"/>
      <c r="H73" s="2"/>
      <c r="I73" s="2"/>
      <c r="J73" s="2"/>
      <c r="K73" s="2"/>
      <c r="L73" s="2"/>
      <c r="M73" s="2"/>
      <c r="N73" s="2"/>
      <c r="O73" s="2"/>
      <c r="P73" s="2"/>
      <c r="Q73" s="2"/>
      <c r="R73" s="2"/>
      <c r="S73" s="2"/>
      <c r="T73" s="2"/>
      <c r="U73" s="2"/>
      <c r="V73" s="2"/>
      <c r="W73" s="2"/>
      <c r="X73" s="2"/>
      <c r="Y73" s="2"/>
    </row>
    <row r="74" ht="22.5" customHeight="1">
      <c r="A74" s="38" t="s">
        <v>237</v>
      </c>
      <c r="B74" s="27"/>
      <c r="C74" s="27"/>
      <c r="D74" s="26"/>
      <c r="E74" s="27"/>
      <c r="F74" s="28"/>
      <c r="G74" s="2"/>
      <c r="H74" s="2"/>
      <c r="I74" s="2"/>
      <c r="J74" s="2"/>
      <c r="K74" s="2"/>
      <c r="L74" s="2"/>
      <c r="M74" s="2"/>
      <c r="N74" s="2"/>
      <c r="O74" s="2"/>
      <c r="P74" s="2"/>
      <c r="Q74" s="2"/>
      <c r="R74" s="2"/>
      <c r="S74" s="2"/>
      <c r="T74" s="2"/>
      <c r="U74" s="2"/>
      <c r="V74" s="2"/>
      <c r="W74" s="2"/>
      <c r="X74" s="2"/>
      <c r="Y74" s="2"/>
    </row>
    <row r="75" ht="22.5" customHeight="1">
      <c r="A75" s="38" t="s">
        <v>238</v>
      </c>
      <c r="B75" s="27"/>
      <c r="C75" s="27"/>
      <c r="D75" s="26"/>
      <c r="E75" s="27"/>
      <c r="F75" s="28"/>
      <c r="G75" s="2"/>
      <c r="H75" s="2"/>
      <c r="I75" s="2"/>
      <c r="J75" s="2"/>
      <c r="K75" s="2"/>
      <c r="L75" s="2"/>
      <c r="M75" s="2"/>
      <c r="N75" s="2"/>
      <c r="O75" s="2"/>
      <c r="P75" s="2"/>
      <c r="Q75" s="2"/>
      <c r="R75" s="2"/>
      <c r="S75" s="2"/>
      <c r="T75" s="2"/>
      <c r="U75" s="2"/>
      <c r="V75" s="2"/>
      <c r="W75" s="2"/>
      <c r="X75" s="2"/>
      <c r="Y75" s="2"/>
    </row>
    <row r="76" ht="22.5" customHeight="1">
      <c r="A76" s="38" t="s">
        <v>239</v>
      </c>
      <c r="B76" s="27"/>
      <c r="C76" s="27"/>
      <c r="D76" s="26"/>
      <c r="E76" s="27"/>
      <c r="F76" s="28"/>
      <c r="G76" s="2"/>
      <c r="H76" s="2"/>
      <c r="I76" s="2"/>
      <c r="J76" s="2"/>
      <c r="K76" s="2"/>
      <c r="L76" s="2"/>
      <c r="M76" s="2"/>
      <c r="N76" s="2"/>
      <c r="O76" s="2"/>
      <c r="P76" s="2"/>
      <c r="Q76" s="2"/>
      <c r="R76" s="2"/>
      <c r="S76" s="2"/>
      <c r="T76" s="2"/>
      <c r="U76" s="2"/>
      <c r="V76" s="2"/>
      <c r="W76" s="2"/>
      <c r="X76" s="2"/>
      <c r="Y76" s="2"/>
    </row>
    <row r="77" ht="22.5" customHeight="1">
      <c r="A77" s="38" t="s">
        <v>242</v>
      </c>
      <c r="B77" s="27"/>
      <c r="C77" s="27"/>
      <c r="D77" s="26"/>
      <c r="E77" s="27"/>
      <c r="F77" s="28"/>
      <c r="G77" s="2"/>
      <c r="H77" s="2"/>
      <c r="I77" s="2"/>
      <c r="J77" s="2"/>
      <c r="K77" s="2"/>
      <c r="L77" s="2"/>
      <c r="M77" s="2"/>
      <c r="N77" s="2"/>
      <c r="O77" s="2"/>
      <c r="P77" s="2"/>
      <c r="Q77" s="2"/>
      <c r="R77" s="2"/>
      <c r="S77" s="2"/>
      <c r="T77" s="2"/>
      <c r="U77" s="2"/>
      <c r="V77" s="2"/>
      <c r="W77" s="2"/>
      <c r="X77" s="2"/>
      <c r="Y77" s="2"/>
    </row>
    <row r="78" ht="22.5" customHeight="1">
      <c r="A78" s="38" t="s">
        <v>243</v>
      </c>
      <c r="B78" s="27"/>
      <c r="C78" s="27"/>
      <c r="D78" s="26"/>
      <c r="E78" s="27"/>
      <c r="F78" s="28"/>
      <c r="G78" s="2"/>
      <c r="H78" s="2"/>
      <c r="I78" s="2"/>
      <c r="J78" s="2"/>
      <c r="K78" s="2"/>
      <c r="L78" s="2"/>
      <c r="M78" s="2"/>
      <c r="N78" s="2"/>
      <c r="O78" s="2"/>
      <c r="P78" s="2"/>
      <c r="Q78" s="2"/>
      <c r="R78" s="2"/>
      <c r="S78" s="2"/>
      <c r="T78" s="2"/>
      <c r="U78" s="2"/>
      <c r="V78" s="2"/>
      <c r="W78" s="2"/>
      <c r="X78" s="2"/>
      <c r="Y78" s="2"/>
    </row>
    <row r="79" ht="22.5" customHeight="1">
      <c r="A79" s="38" t="s">
        <v>244</v>
      </c>
      <c r="B79" s="27"/>
      <c r="C79" s="27"/>
      <c r="D79" s="26"/>
      <c r="E79" s="27"/>
      <c r="F79" s="28"/>
      <c r="G79" s="2"/>
      <c r="H79" s="2"/>
      <c r="I79" s="2"/>
      <c r="J79" s="2"/>
      <c r="K79" s="2"/>
      <c r="L79" s="2"/>
      <c r="M79" s="2"/>
      <c r="N79" s="2"/>
      <c r="O79" s="2"/>
      <c r="P79" s="2"/>
      <c r="Q79" s="2"/>
      <c r="R79" s="2"/>
      <c r="S79" s="2"/>
      <c r="T79" s="2"/>
      <c r="U79" s="2"/>
      <c r="V79" s="2"/>
      <c r="W79" s="2"/>
      <c r="X79" s="2"/>
      <c r="Y79" s="2"/>
    </row>
    <row r="80" ht="22.5" customHeight="1">
      <c r="A80" s="38" t="s">
        <v>246</v>
      </c>
      <c r="B80" s="27"/>
      <c r="C80" s="27"/>
      <c r="D80" s="26"/>
      <c r="E80" s="27"/>
      <c r="F80" s="28"/>
      <c r="G80" s="2"/>
      <c r="H80" s="2"/>
      <c r="I80" s="2"/>
      <c r="J80" s="2"/>
      <c r="K80" s="2"/>
      <c r="L80" s="2"/>
      <c r="M80" s="2"/>
      <c r="N80" s="2"/>
      <c r="O80" s="2"/>
      <c r="P80" s="2"/>
      <c r="Q80" s="2"/>
      <c r="R80" s="2"/>
      <c r="S80" s="2"/>
      <c r="T80" s="2"/>
      <c r="U80" s="2"/>
      <c r="V80" s="2"/>
      <c r="W80" s="2"/>
      <c r="X80" s="2"/>
      <c r="Y80" s="2"/>
    </row>
    <row r="81" ht="22.5" customHeight="1">
      <c r="A81" s="38" t="s">
        <v>248</v>
      </c>
      <c r="B81" s="27"/>
      <c r="C81" s="27"/>
      <c r="D81" s="26"/>
      <c r="E81" s="27"/>
      <c r="F81" s="28"/>
      <c r="G81" s="2"/>
      <c r="H81" s="2"/>
      <c r="I81" s="2"/>
      <c r="J81" s="2"/>
      <c r="K81" s="2"/>
      <c r="L81" s="2"/>
      <c r="M81" s="2"/>
      <c r="N81" s="2"/>
      <c r="O81" s="2"/>
      <c r="P81" s="2"/>
      <c r="Q81" s="2"/>
      <c r="R81" s="2"/>
      <c r="S81" s="2"/>
      <c r="T81" s="2"/>
      <c r="U81" s="2"/>
      <c r="V81" s="2"/>
      <c r="W81" s="2"/>
      <c r="X81" s="2"/>
      <c r="Y81" s="2"/>
    </row>
    <row r="82" ht="22.5" customHeight="1">
      <c r="A82" s="38" t="s">
        <v>249</v>
      </c>
      <c r="B82" s="27"/>
      <c r="C82" s="27"/>
      <c r="D82" s="26"/>
      <c r="E82" s="27"/>
      <c r="F82" s="28"/>
      <c r="G82" s="2"/>
      <c r="H82" s="2"/>
      <c r="I82" s="2"/>
      <c r="J82" s="2"/>
      <c r="K82" s="2"/>
      <c r="L82" s="2"/>
      <c r="M82" s="2"/>
      <c r="N82" s="2"/>
      <c r="O82" s="2"/>
      <c r="P82" s="2"/>
      <c r="Q82" s="2"/>
      <c r="R82" s="2"/>
      <c r="S82" s="2"/>
      <c r="T82" s="2"/>
      <c r="U82" s="2"/>
      <c r="V82" s="2"/>
      <c r="W82" s="2"/>
      <c r="X82" s="2"/>
      <c r="Y82" s="2"/>
    </row>
    <row r="83" ht="22.5" customHeight="1">
      <c r="A83" s="38" t="s">
        <v>251</v>
      </c>
      <c r="B83" s="27"/>
      <c r="C83" s="27"/>
      <c r="D83" s="26"/>
      <c r="E83" s="27"/>
      <c r="F83" s="28"/>
      <c r="G83" s="2"/>
      <c r="H83" s="2"/>
      <c r="I83" s="2"/>
      <c r="J83" s="2"/>
      <c r="K83" s="2"/>
      <c r="L83" s="2"/>
      <c r="M83" s="2"/>
      <c r="N83" s="2"/>
      <c r="O83" s="2"/>
      <c r="P83" s="2"/>
      <c r="Q83" s="2"/>
      <c r="R83" s="2"/>
      <c r="S83" s="2"/>
      <c r="T83" s="2"/>
      <c r="U83" s="2"/>
      <c r="V83" s="2"/>
      <c r="W83" s="2"/>
      <c r="X83" s="2"/>
      <c r="Y83" s="2"/>
    </row>
    <row r="84" ht="22.5" customHeight="1">
      <c r="A84" s="38" t="s">
        <v>252</v>
      </c>
      <c r="B84" s="27"/>
      <c r="C84" s="27"/>
      <c r="D84" s="26"/>
      <c r="E84" s="27"/>
      <c r="F84" s="28"/>
      <c r="G84" s="2"/>
      <c r="H84" s="2"/>
      <c r="I84" s="2"/>
      <c r="J84" s="2"/>
      <c r="K84" s="2"/>
      <c r="L84" s="2"/>
      <c r="M84" s="2"/>
      <c r="N84" s="2"/>
      <c r="O84" s="2"/>
      <c r="P84" s="2"/>
      <c r="Q84" s="2"/>
      <c r="R84" s="2"/>
      <c r="S84" s="2"/>
      <c r="T84" s="2"/>
      <c r="U84" s="2"/>
      <c r="V84" s="2"/>
      <c r="W84" s="2"/>
      <c r="X84" s="2"/>
      <c r="Y84" s="2"/>
    </row>
    <row r="85" ht="22.5" customHeight="1">
      <c r="A85" s="38" t="s">
        <v>254</v>
      </c>
      <c r="B85" s="27"/>
      <c r="C85" s="27"/>
      <c r="D85" s="26"/>
      <c r="E85" s="27"/>
      <c r="F85" s="28"/>
      <c r="G85" s="2"/>
      <c r="H85" s="2"/>
      <c r="I85" s="2"/>
      <c r="J85" s="2"/>
      <c r="K85" s="2"/>
      <c r="L85" s="2"/>
      <c r="M85" s="2"/>
      <c r="N85" s="2"/>
      <c r="O85" s="2"/>
      <c r="P85" s="2"/>
      <c r="Q85" s="2"/>
      <c r="R85" s="2"/>
      <c r="S85" s="2"/>
      <c r="T85" s="2"/>
      <c r="U85" s="2"/>
      <c r="V85" s="2"/>
      <c r="W85" s="2"/>
      <c r="X85" s="2"/>
      <c r="Y85" s="2"/>
    </row>
    <row r="86" ht="22.5" customHeight="1">
      <c r="A86" s="38" t="s">
        <v>255</v>
      </c>
      <c r="B86" s="27"/>
      <c r="C86" s="27"/>
      <c r="D86" s="26"/>
      <c r="E86" s="27"/>
      <c r="F86" s="28"/>
      <c r="G86" s="2"/>
      <c r="H86" s="2"/>
      <c r="I86" s="2"/>
      <c r="J86" s="2"/>
      <c r="K86" s="2"/>
      <c r="L86" s="2"/>
      <c r="M86" s="2"/>
      <c r="N86" s="2"/>
      <c r="O86" s="2"/>
      <c r="P86" s="2"/>
      <c r="Q86" s="2"/>
      <c r="R86" s="2"/>
      <c r="S86" s="2"/>
      <c r="T86" s="2"/>
      <c r="U86" s="2"/>
      <c r="V86" s="2"/>
      <c r="W86" s="2"/>
      <c r="X86" s="2"/>
      <c r="Y86" s="2"/>
    </row>
    <row r="87" ht="22.5" customHeight="1">
      <c r="A87" s="38" t="s">
        <v>257</v>
      </c>
      <c r="B87" s="27"/>
      <c r="C87" s="27"/>
      <c r="D87" s="26"/>
      <c r="E87" s="27"/>
      <c r="F87" s="28"/>
      <c r="G87" s="2"/>
      <c r="H87" s="2"/>
      <c r="I87" s="2"/>
      <c r="J87" s="2"/>
      <c r="K87" s="2"/>
      <c r="L87" s="2"/>
      <c r="M87" s="2"/>
      <c r="N87" s="2"/>
      <c r="O87" s="2"/>
      <c r="P87" s="2"/>
      <c r="Q87" s="2"/>
      <c r="R87" s="2"/>
      <c r="S87" s="2"/>
      <c r="T87" s="2"/>
      <c r="U87" s="2"/>
      <c r="V87" s="2"/>
      <c r="W87" s="2"/>
      <c r="X87" s="2"/>
      <c r="Y87" s="2"/>
    </row>
    <row r="88" ht="22.5" customHeight="1">
      <c r="A88" s="38" t="s">
        <v>259</v>
      </c>
      <c r="B88" s="27"/>
      <c r="C88" s="27"/>
      <c r="D88" s="26"/>
      <c r="E88" s="27"/>
      <c r="F88" s="28"/>
      <c r="G88" s="2"/>
      <c r="H88" s="2"/>
      <c r="I88" s="2"/>
      <c r="J88" s="2"/>
      <c r="K88" s="2"/>
      <c r="L88" s="2"/>
      <c r="M88" s="2"/>
      <c r="N88" s="2"/>
      <c r="O88" s="2"/>
      <c r="P88" s="2"/>
      <c r="Q88" s="2"/>
      <c r="R88" s="2"/>
      <c r="S88" s="2"/>
      <c r="T88" s="2"/>
      <c r="U88" s="2"/>
      <c r="V88" s="2"/>
      <c r="W88" s="2"/>
      <c r="X88" s="2"/>
      <c r="Y88" s="2"/>
    </row>
    <row r="89" ht="22.5" customHeight="1">
      <c r="A89" s="38" t="s">
        <v>260</v>
      </c>
      <c r="B89" s="27"/>
      <c r="C89" s="27"/>
      <c r="D89" s="26"/>
      <c r="E89" s="27"/>
      <c r="F89" s="28"/>
      <c r="G89" s="2"/>
      <c r="H89" s="2"/>
      <c r="I89" s="2"/>
      <c r="J89" s="2"/>
      <c r="K89" s="2"/>
      <c r="L89" s="2"/>
      <c r="M89" s="2"/>
      <c r="N89" s="2"/>
      <c r="O89" s="2"/>
      <c r="P89" s="2"/>
      <c r="Q89" s="2"/>
      <c r="R89" s="2"/>
      <c r="S89" s="2"/>
      <c r="T89" s="2"/>
      <c r="U89" s="2"/>
      <c r="V89" s="2"/>
      <c r="W89" s="2"/>
      <c r="X89" s="2"/>
      <c r="Y89" s="2"/>
    </row>
    <row r="90" ht="22.5" customHeight="1">
      <c r="A90" s="38" t="s">
        <v>262</v>
      </c>
      <c r="B90" s="27"/>
      <c r="C90" s="27"/>
      <c r="D90" s="26"/>
      <c r="E90" s="27"/>
      <c r="F90" s="28"/>
      <c r="G90" s="2"/>
      <c r="H90" s="2"/>
      <c r="I90" s="2"/>
      <c r="J90" s="2"/>
      <c r="K90" s="2"/>
      <c r="L90" s="2"/>
      <c r="M90" s="2"/>
      <c r="N90" s="2"/>
      <c r="O90" s="2"/>
      <c r="P90" s="2"/>
      <c r="Q90" s="2"/>
      <c r="R90" s="2"/>
      <c r="S90" s="2"/>
      <c r="T90" s="2"/>
      <c r="U90" s="2"/>
      <c r="V90" s="2"/>
      <c r="W90" s="2"/>
      <c r="X90" s="2"/>
      <c r="Y90" s="2"/>
    </row>
    <row r="91" ht="22.5" customHeight="1">
      <c r="A91" s="38" t="s">
        <v>264</v>
      </c>
      <c r="B91" s="27"/>
      <c r="C91" s="27"/>
      <c r="D91" s="26"/>
      <c r="E91" s="27"/>
      <c r="F91" s="28"/>
      <c r="G91" s="2"/>
      <c r="H91" s="2"/>
      <c r="I91" s="2"/>
      <c r="J91" s="2"/>
      <c r="K91" s="2"/>
      <c r="L91" s="2"/>
      <c r="M91" s="2"/>
      <c r="N91" s="2"/>
      <c r="O91" s="2"/>
      <c r="P91" s="2"/>
      <c r="Q91" s="2"/>
      <c r="R91" s="2"/>
      <c r="S91" s="2"/>
      <c r="T91" s="2"/>
      <c r="U91" s="2"/>
      <c r="V91" s="2"/>
      <c r="W91" s="2"/>
      <c r="X91" s="2"/>
      <c r="Y91" s="2"/>
    </row>
    <row r="92" ht="22.5" customHeight="1">
      <c r="A92" s="38" t="s">
        <v>265</v>
      </c>
      <c r="B92" s="27"/>
      <c r="C92" s="27"/>
      <c r="D92" s="26"/>
      <c r="E92" s="27"/>
      <c r="F92" s="28"/>
      <c r="G92" s="2"/>
      <c r="H92" s="2"/>
      <c r="I92" s="2"/>
      <c r="J92" s="2"/>
      <c r="K92" s="2"/>
      <c r="L92" s="2"/>
      <c r="M92" s="2"/>
      <c r="N92" s="2"/>
      <c r="O92" s="2"/>
      <c r="P92" s="2"/>
      <c r="Q92" s="2"/>
      <c r="R92" s="2"/>
      <c r="S92" s="2"/>
      <c r="T92" s="2"/>
      <c r="U92" s="2"/>
      <c r="V92" s="2"/>
      <c r="W92" s="2"/>
      <c r="X92" s="2"/>
      <c r="Y92" s="2"/>
    </row>
    <row r="93" ht="22.5" customHeight="1">
      <c r="A93" s="38" t="s">
        <v>268</v>
      </c>
      <c r="B93" s="27"/>
      <c r="C93" s="27"/>
      <c r="D93" s="26"/>
      <c r="E93" s="27"/>
      <c r="F93" s="28"/>
      <c r="G93" s="2"/>
      <c r="H93" s="2"/>
      <c r="I93" s="2"/>
      <c r="J93" s="2"/>
      <c r="K93" s="2"/>
      <c r="L93" s="2"/>
      <c r="M93" s="2"/>
      <c r="N93" s="2"/>
      <c r="O93" s="2"/>
      <c r="P93" s="2"/>
      <c r="Q93" s="2"/>
      <c r="R93" s="2"/>
      <c r="S93" s="2"/>
      <c r="T93" s="2"/>
      <c r="U93" s="2"/>
      <c r="V93" s="2"/>
      <c r="W93" s="2"/>
      <c r="X93" s="2"/>
      <c r="Y93" s="2"/>
    </row>
    <row r="94" ht="22.5" customHeight="1">
      <c r="A94" s="38" t="s">
        <v>270</v>
      </c>
      <c r="B94" s="27"/>
      <c r="C94" s="27"/>
      <c r="D94" s="26"/>
      <c r="E94" s="27"/>
      <c r="F94" s="28"/>
      <c r="G94" s="2"/>
      <c r="H94" s="2"/>
      <c r="I94" s="2"/>
      <c r="J94" s="2"/>
      <c r="K94" s="2"/>
      <c r="L94" s="2"/>
      <c r="M94" s="2"/>
      <c r="N94" s="2"/>
      <c r="O94" s="2"/>
      <c r="P94" s="2"/>
      <c r="Q94" s="2"/>
      <c r="R94" s="2"/>
      <c r="S94" s="2"/>
      <c r="T94" s="2"/>
      <c r="U94" s="2"/>
      <c r="V94" s="2"/>
      <c r="W94" s="2"/>
      <c r="X94" s="2"/>
      <c r="Y94" s="2"/>
    </row>
    <row r="95" ht="22.5" customHeight="1">
      <c r="A95" s="38" t="s">
        <v>272</v>
      </c>
      <c r="B95" s="27"/>
      <c r="C95" s="27"/>
      <c r="D95" s="26"/>
      <c r="E95" s="27"/>
      <c r="F95" s="28"/>
      <c r="G95" s="2"/>
      <c r="H95" s="2"/>
      <c r="I95" s="2"/>
      <c r="J95" s="2"/>
      <c r="K95" s="2"/>
      <c r="L95" s="2"/>
      <c r="M95" s="2"/>
      <c r="N95" s="2"/>
      <c r="O95" s="2"/>
      <c r="P95" s="2"/>
      <c r="Q95" s="2"/>
      <c r="R95" s="2"/>
      <c r="S95" s="2"/>
      <c r="T95" s="2"/>
      <c r="U95" s="2"/>
      <c r="V95" s="2"/>
      <c r="W95" s="2"/>
      <c r="X95" s="2"/>
      <c r="Y95" s="2"/>
    </row>
    <row r="96" ht="22.5" customHeight="1">
      <c r="A96" s="38" t="s">
        <v>275</v>
      </c>
      <c r="B96" s="27"/>
      <c r="C96" s="27"/>
      <c r="D96" s="26"/>
      <c r="E96" s="27"/>
      <c r="F96" s="28"/>
      <c r="G96" s="2"/>
      <c r="H96" s="2"/>
      <c r="I96" s="2"/>
      <c r="J96" s="2"/>
      <c r="K96" s="2"/>
      <c r="L96" s="2"/>
      <c r="M96" s="2"/>
      <c r="N96" s="2"/>
      <c r="O96" s="2"/>
      <c r="P96" s="2"/>
      <c r="Q96" s="2"/>
      <c r="R96" s="2"/>
      <c r="S96" s="2"/>
      <c r="T96" s="2"/>
      <c r="U96" s="2"/>
      <c r="V96" s="2"/>
      <c r="W96" s="2"/>
      <c r="X96" s="2"/>
      <c r="Y96" s="2"/>
    </row>
    <row r="97" ht="22.5" customHeight="1">
      <c r="A97" s="38" t="s">
        <v>277</v>
      </c>
      <c r="B97" s="27"/>
      <c r="C97" s="27"/>
      <c r="D97" s="26"/>
      <c r="E97" s="27"/>
      <c r="F97" s="28"/>
      <c r="G97" s="2"/>
      <c r="H97" s="2"/>
      <c r="I97" s="2"/>
      <c r="J97" s="2"/>
      <c r="K97" s="2"/>
      <c r="L97" s="2"/>
      <c r="M97" s="2"/>
      <c r="N97" s="2"/>
      <c r="O97" s="2"/>
      <c r="P97" s="2"/>
      <c r="Q97" s="2"/>
      <c r="R97" s="2"/>
      <c r="S97" s="2"/>
      <c r="T97" s="2"/>
      <c r="U97" s="2"/>
      <c r="V97" s="2"/>
      <c r="W97" s="2"/>
      <c r="X97" s="2"/>
      <c r="Y97" s="2"/>
    </row>
    <row r="98" ht="22.5" customHeight="1">
      <c r="A98" s="38" t="s">
        <v>280</v>
      </c>
      <c r="B98" s="27"/>
      <c r="C98" s="27"/>
      <c r="D98" s="26"/>
      <c r="E98" s="27"/>
      <c r="F98" s="28"/>
      <c r="G98" s="2"/>
      <c r="H98" s="2"/>
      <c r="I98" s="2"/>
      <c r="J98" s="2"/>
      <c r="K98" s="2"/>
      <c r="L98" s="2"/>
      <c r="M98" s="2"/>
      <c r="N98" s="2"/>
      <c r="O98" s="2"/>
      <c r="P98" s="2"/>
      <c r="Q98" s="2"/>
      <c r="R98" s="2"/>
      <c r="S98" s="2"/>
      <c r="T98" s="2"/>
      <c r="U98" s="2"/>
      <c r="V98" s="2"/>
      <c r="W98" s="2"/>
      <c r="X98" s="2"/>
      <c r="Y98" s="2"/>
    </row>
    <row r="99" ht="22.5" customHeight="1">
      <c r="A99" s="38" t="s">
        <v>282</v>
      </c>
      <c r="B99" s="27"/>
      <c r="C99" s="27"/>
      <c r="D99" s="26"/>
      <c r="E99" s="27"/>
      <c r="F99" s="28"/>
      <c r="G99" s="2"/>
      <c r="H99" s="2"/>
      <c r="I99" s="2"/>
      <c r="J99" s="2"/>
      <c r="K99" s="2"/>
      <c r="L99" s="2"/>
      <c r="M99" s="2"/>
      <c r="N99" s="2"/>
      <c r="O99" s="2"/>
      <c r="P99" s="2"/>
      <c r="Q99" s="2"/>
      <c r="R99" s="2"/>
      <c r="S99" s="2"/>
      <c r="T99" s="2"/>
      <c r="U99" s="2"/>
      <c r="V99" s="2"/>
      <c r="W99" s="2"/>
      <c r="X99" s="2"/>
      <c r="Y99" s="2"/>
    </row>
    <row r="100" ht="22.5" customHeight="1">
      <c r="A100" s="38" t="s">
        <v>285</v>
      </c>
      <c r="B100" s="27"/>
      <c r="C100" s="27"/>
      <c r="D100" s="26"/>
      <c r="E100" s="27"/>
      <c r="F100" s="28"/>
      <c r="G100" s="2"/>
      <c r="H100" s="2"/>
      <c r="I100" s="2"/>
      <c r="J100" s="2"/>
      <c r="K100" s="2"/>
      <c r="L100" s="2"/>
      <c r="M100" s="2"/>
      <c r="N100" s="2"/>
      <c r="O100" s="2"/>
      <c r="P100" s="2"/>
      <c r="Q100" s="2"/>
      <c r="R100" s="2"/>
      <c r="S100" s="2"/>
      <c r="T100" s="2"/>
      <c r="U100" s="2"/>
      <c r="V100" s="2"/>
      <c r="W100" s="2"/>
      <c r="X100" s="2"/>
      <c r="Y100" s="2"/>
    </row>
    <row r="101" ht="22.5" customHeight="1">
      <c r="A101" s="38" t="s">
        <v>287</v>
      </c>
      <c r="B101" s="27"/>
      <c r="C101" s="27"/>
      <c r="D101" s="26"/>
      <c r="E101" s="27"/>
      <c r="F101" s="28"/>
      <c r="G101" s="2"/>
      <c r="H101" s="2"/>
      <c r="I101" s="2"/>
      <c r="J101" s="2"/>
      <c r="K101" s="2"/>
      <c r="L101" s="2"/>
      <c r="M101" s="2"/>
      <c r="N101" s="2"/>
      <c r="O101" s="2"/>
      <c r="P101" s="2"/>
      <c r="Q101" s="2"/>
      <c r="R101" s="2"/>
      <c r="S101" s="2"/>
      <c r="T101" s="2"/>
      <c r="U101" s="2"/>
      <c r="V101" s="2"/>
      <c r="W101" s="2"/>
      <c r="X101" s="2"/>
      <c r="Y101" s="2"/>
    </row>
    <row r="102" ht="22.5" customHeight="1">
      <c r="A102" s="38" t="s">
        <v>288</v>
      </c>
      <c r="B102" s="27"/>
      <c r="C102" s="27"/>
      <c r="D102" s="26"/>
      <c r="E102" s="27"/>
      <c r="F102" s="28"/>
      <c r="G102" s="2"/>
      <c r="H102" s="2"/>
      <c r="I102" s="2"/>
      <c r="J102" s="2"/>
      <c r="K102" s="2"/>
      <c r="L102" s="2"/>
      <c r="M102" s="2"/>
      <c r="N102" s="2"/>
      <c r="O102" s="2"/>
      <c r="P102" s="2"/>
      <c r="Q102" s="2"/>
      <c r="R102" s="2"/>
      <c r="S102" s="2"/>
      <c r="T102" s="2"/>
      <c r="U102" s="2"/>
      <c r="V102" s="2"/>
      <c r="W102" s="2"/>
      <c r="X102" s="2"/>
      <c r="Y102" s="2"/>
    </row>
    <row r="103" ht="22.5" customHeight="1">
      <c r="A103" s="38" t="s">
        <v>290</v>
      </c>
      <c r="B103" s="27"/>
      <c r="C103" s="27"/>
      <c r="D103" s="26"/>
      <c r="E103" s="27"/>
      <c r="F103" s="28"/>
      <c r="G103" s="2"/>
      <c r="H103" s="2"/>
      <c r="I103" s="2"/>
      <c r="J103" s="2"/>
      <c r="K103" s="2"/>
      <c r="L103" s="2"/>
      <c r="M103" s="2"/>
      <c r="N103" s="2"/>
      <c r="O103" s="2"/>
      <c r="P103" s="2"/>
      <c r="Q103" s="2"/>
      <c r="R103" s="2"/>
      <c r="S103" s="2"/>
      <c r="T103" s="2"/>
      <c r="U103" s="2"/>
      <c r="V103" s="2"/>
      <c r="W103" s="2"/>
      <c r="X103" s="2"/>
      <c r="Y103" s="2"/>
    </row>
    <row r="104" ht="22.5" customHeight="1">
      <c r="A104" s="38" t="s">
        <v>291</v>
      </c>
      <c r="B104" s="27"/>
      <c r="C104" s="27"/>
      <c r="D104" s="26"/>
      <c r="E104" s="27"/>
      <c r="F104" s="28"/>
      <c r="G104" s="2"/>
      <c r="H104" s="2"/>
      <c r="I104" s="2"/>
      <c r="J104" s="2"/>
      <c r="K104" s="2"/>
      <c r="L104" s="2"/>
      <c r="M104" s="2"/>
      <c r="N104" s="2"/>
      <c r="O104" s="2"/>
      <c r="P104" s="2"/>
      <c r="Q104" s="2"/>
      <c r="R104" s="2"/>
      <c r="S104" s="2"/>
      <c r="T104" s="2"/>
      <c r="U104" s="2"/>
      <c r="V104" s="2"/>
      <c r="W104" s="2"/>
      <c r="X104" s="2"/>
      <c r="Y104" s="2"/>
    </row>
    <row r="105" ht="22.5" customHeight="1">
      <c r="A105" s="38" t="s">
        <v>293</v>
      </c>
      <c r="B105" s="27"/>
      <c r="C105" s="27"/>
      <c r="D105" s="26"/>
      <c r="E105" s="27"/>
      <c r="F105" s="28"/>
      <c r="G105" s="2"/>
      <c r="H105" s="2"/>
      <c r="I105" s="2"/>
      <c r="J105" s="2"/>
      <c r="K105" s="2"/>
      <c r="L105" s="2"/>
      <c r="M105" s="2"/>
      <c r="N105" s="2"/>
      <c r="O105" s="2"/>
      <c r="P105" s="2"/>
      <c r="Q105" s="2"/>
      <c r="R105" s="2"/>
      <c r="S105" s="2"/>
      <c r="T105" s="2"/>
      <c r="U105" s="2"/>
      <c r="V105" s="2"/>
      <c r="W105" s="2"/>
      <c r="X105" s="2"/>
      <c r="Y105" s="2"/>
    </row>
    <row r="106" ht="22.5" customHeight="1">
      <c r="A106" s="38" t="s">
        <v>295</v>
      </c>
      <c r="B106" s="27"/>
      <c r="C106" s="27"/>
      <c r="D106" s="26"/>
      <c r="E106" s="27"/>
      <c r="F106" s="28"/>
      <c r="G106" s="2"/>
      <c r="H106" s="2"/>
      <c r="I106" s="2"/>
      <c r="J106" s="2"/>
      <c r="K106" s="2"/>
      <c r="L106" s="2"/>
      <c r="M106" s="2"/>
      <c r="N106" s="2"/>
      <c r="O106" s="2"/>
      <c r="P106" s="2"/>
      <c r="Q106" s="2"/>
      <c r="R106" s="2"/>
      <c r="S106" s="2"/>
      <c r="T106" s="2"/>
      <c r="U106" s="2"/>
      <c r="V106" s="2"/>
      <c r="W106" s="2"/>
      <c r="X106" s="2"/>
      <c r="Y106" s="2"/>
    </row>
    <row r="107" ht="22.5" customHeight="1">
      <c r="A107" s="38" t="s">
        <v>296</v>
      </c>
      <c r="B107" s="27"/>
      <c r="C107" s="27"/>
      <c r="D107" s="26"/>
      <c r="E107" s="27"/>
      <c r="F107" s="28"/>
      <c r="G107" s="2"/>
      <c r="H107" s="2"/>
      <c r="I107" s="2"/>
      <c r="J107" s="2"/>
      <c r="K107" s="2"/>
      <c r="L107" s="2"/>
      <c r="M107" s="2"/>
      <c r="N107" s="2"/>
      <c r="O107" s="2"/>
      <c r="P107" s="2"/>
      <c r="Q107" s="2"/>
      <c r="R107" s="2"/>
      <c r="S107" s="2"/>
      <c r="T107" s="2"/>
      <c r="U107" s="2"/>
      <c r="V107" s="2"/>
      <c r="W107" s="2"/>
      <c r="X107" s="2"/>
      <c r="Y107" s="2"/>
    </row>
    <row r="108" ht="22.5" customHeight="1">
      <c r="A108" s="38" t="s">
        <v>297</v>
      </c>
      <c r="B108" s="27"/>
      <c r="C108" s="27"/>
      <c r="D108" s="26"/>
      <c r="E108" s="27"/>
      <c r="F108" s="28"/>
      <c r="G108" s="2"/>
      <c r="H108" s="2"/>
      <c r="I108" s="2"/>
      <c r="J108" s="2"/>
      <c r="K108" s="2"/>
      <c r="L108" s="2"/>
      <c r="M108" s="2"/>
      <c r="N108" s="2"/>
      <c r="O108" s="2"/>
      <c r="P108" s="2"/>
      <c r="Q108" s="2"/>
      <c r="R108" s="2"/>
      <c r="S108" s="2"/>
      <c r="T108" s="2"/>
      <c r="U108" s="2"/>
      <c r="V108" s="2"/>
      <c r="W108" s="2"/>
      <c r="X108" s="2"/>
      <c r="Y108" s="2"/>
    </row>
  </sheetData>
  <dataValidations>
    <dataValidation type="list" allowBlank="1" sqref="D2:D108">
      <formula1>"Decision Tree,GBM,XGB,LGBM,CAT? Logistic?,LogisticRegression"</formula1>
    </dataValidation>
    <dataValidation allowBlank="1" showDropDown="1" sqref="A2:A108"/>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27.5"/>
    <col customWidth="1" min="3" max="3" width="40.75"/>
    <col customWidth="1" min="4" max="4" width="31.13"/>
    <col customWidth="1" min="5" max="5" width="38.63"/>
    <col customWidth="1" min="6" max="6" width="22.63"/>
    <col customWidth="1" min="7" max="8" width="8.88"/>
    <col customWidth="1" min="9" max="9" width="57.75"/>
  </cols>
  <sheetData>
    <row r="1" ht="22.5" customHeight="1">
      <c r="A1" s="6" t="s">
        <v>54</v>
      </c>
      <c r="B1" s="6" t="s">
        <v>165</v>
      </c>
      <c r="C1" s="6" t="s">
        <v>62</v>
      </c>
      <c r="D1" s="6" t="s">
        <v>64</v>
      </c>
      <c r="E1" s="6" t="s">
        <v>166</v>
      </c>
      <c r="F1" s="6" t="s">
        <v>66</v>
      </c>
      <c r="G1" s="6" t="s">
        <v>167</v>
      </c>
      <c r="H1" s="6" t="s">
        <v>77</v>
      </c>
      <c r="I1" s="6" t="s">
        <v>70</v>
      </c>
      <c r="J1" s="2"/>
      <c r="K1" s="2"/>
      <c r="L1" s="2"/>
      <c r="M1" s="2"/>
      <c r="N1" s="2"/>
      <c r="O1" s="2"/>
      <c r="P1" s="2"/>
      <c r="Q1" s="2"/>
      <c r="R1" s="2"/>
      <c r="S1" s="2"/>
      <c r="T1" s="2"/>
      <c r="U1" s="2"/>
      <c r="V1" s="2"/>
      <c r="W1" s="2"/>
      <c r="X1" s="2"/>
      <c r="Y1" s="2"/>
      <c r="Z1" s="2"/>
      <c r="AA1" s="2"/>
      <c r="AB1" s="2"/>
      <c r="AC1" s="2"/>
    </row>
    <row r="2" ht="22.5" customHeight="1">
      <c r="A2" s="13" t="s">
        <v>80</v>
      </c>
      <c r="B2" s="15" t="s">
        <v>81</v>
      </c>
      <c r="C2" s="15" t="s">
        <v>84</v>
      </c>
      <c r="D2" s="15"/>
      <c r="E2" s="60"/>
      <c r="F2" s="19" t="s">
        <v>85</v>
      </c>
      <c r="G2" s="15"/>
      <c r="H2" s="15" t="s">
        <v>90</v>
      </c>
      <c r="I2" s="23"/>
      <c r="J2" s="2"/>
      <c r="K2" s="2"/>
      <c r="L2" s="2"/>
      <c r="M2" s="2"/>
      <c r="N2" s="2"/>
      <c r="O2" s="2"/>
      <c r="P2" s="2"/>
      <c r="Q2" s="2"/>
      <c r="R2" s="2"/>
      <c r="S2" s="2"/>
      <c r="T2" s="2"/>
      <c r="U2" s="2"/>
      <c r="V2" s="2"/>
      <c r="W2" s="2"/>
      <c r="X2" s="2"/>
      <c r="Y2" s="2"/>
      <c r="Z2" s="2"/>
      <c r="AA2" s="2"/>
      <c r="AB2" s="2"/>
      <c r="AC2" s="2"/>
    </row>
    <row r="3" ht="22.5" customHeight="1">
      <c r="A3" s="13">
        <v>1.0</v>
      </c>
      <c r="B3" s="15" t="s">
        <v>172</v>
      </c>
      <c r="C3" s="15" t="s">
        <v>173</v>
      </c>
      <c r="D3" s="23"/>
      <c r="E3" s="61"/>
      <c r="F3" s="31"/>
      <c r="G3" s="23"/>
      <c r="H3" s="23" t="str">
        <f t="shared" ref="H3:H20" si="1">#REF!-#REF!</f>
        <v>#REF!</v>
      </c>
      <c r="I3" s="23"/>
      <c r="J3" s="2"/>
      <c r="K3" s="2"/>
      <c r="L3" s="2"/>
      <c r="M3" s="2"/>
      <c r="N3" s="2"/>
      <c r="O3" s="2"/>
      <c r="P3" s="2"/>
      <c r="Q3" s="2"/>
      <c r="R3" s="2"/>
      <c r="S3" s="2"/>
      <c r="T3" s="2"/>
      <c r="U3" s="2"/>
      <c r="V3" s="2"/>
      <c r="W3" s="2"/>
      <c r="X3" s="2"/>
      <c r="Y3" s="2"/>
      <c r="Z3" s="2"/>
      <c r="AA3" s="2"/>
      <c r="AB3" s="2"/>
      <c r="AC3" s="2"/>
    </row>
    <row r="4" ht="22.5" customHeight="1">
      <c r="A4" s="13">
        <v>2.0</v>
      </c>
      <c r="B4" s="15" t="s">
        <v>177</v>
      </c>
      <c r="C4" s="15" t="s">
        <v>178</v>
      </c>
      <c r="D4" s="23"/>
      <c r="E4" s="61"/>
      <c r="F4" s="31"/>
      <c r="G4" s="23"/>
      <c r="H4" s="23" t="str">
        <f t="shared" si="1"/>
        <v>#REF!</v>
      </c>
      <c r="I4" s="23"/>
      <c r="J4" s="2"/>
      <c r="K4" s="2"/>
      <c r="L4" s="2"/>
      <c r="M4" s="2"/>
      <c r="N4" s="2"/>
      <c r="O4" s="2"/>
      <c r="P4" s="2"/>
      <c r="Q4" s="2"/>
      <c r="R4" s="2"/>
      <c r="S4" s="2"/>
      <c r="T4" s="2"/>
      <c r="U4" s="2"/>
      <c r="V4" s="2"/>
      <c r="W4" s="2"/>
      <c r="X4" s="2"/>
      <c r="Y4" s="2"/>
      <c r="Z4" s="2"/>
      <c r="AA4" s="2"/>
      <c r="AB4" s="2"/>
      <c r="AC4" s="2"/>
    </row>
    <row r="5" ht="22.5" customHeight="1">
      <c r="A5" s="13">
        <v>3.0</v>
      </c>
      <c r="B5" s="15" t="s">
        <v>180</v>
      </c>
      <c r="C5" s="23"/>
      <c r="D5" s="15" t="s">
        <v>182</v>
      </c>
      <c r="E5" s="15" t="s">
        <v>183</v>
      </c>
      <c r="F5" s="31"/>
      <c r="G5" s="23"/>
      <c r="H5" s="23" t="str">
        <f t="shared" si="1"/>
        <v>#REF!</v>
      </c>
      <c r="I5" s="23"/>
      <c r="J5" s="2"/>
      <c r="K5" s="2"/>
      <c r="L5" s="2"/>
      <c r="M5" s="2"/>
      <c r="N5" s="2"/>
      <c r="O5" s="2"/>
      <c r="P5" s="2"/>
      <c r="Q5" s="2"/>
      <c r="R5" s="2"/>
      <c r="S5" s="2"/>
      <c r="T5" s="2"/>
      <c r="U5" s="2"/>
      <c r="V5" s="2"/>
      <c r="W5" s="2"/>
      <c r="X5" s="2"/>
      <c r="Y5" s="2"/>
      <c r="Z5" s="2"/>
      <c r="AA5" s="2"/>
      <c r="AB5" s="2"/>
      <c r="AC5" s="2"/>
    </row>
    <row r="6" ht="22.5" customHeight="1">
      <c r="A6" s="13">
        <v>4.0</v>
      </c>
      <c r="B6" s="15" t="s">
        <v>185</v>
      </c>
      <c r="C6" s="15" t="s">
        <v>186</v>
      </c>
      <c r="D6" s="15" t="s">
        <v>188</v>
      </c>
      <c r="E6" s="15" t="s">
        <v>189</v>
      </c>
      <c r="F6" s="31"/>
      <c r="G6" s="23"/>
      <c r="H6" s="23" t="str">
        <f t="shared" si="1"/>
        <v>#REF!</v>
      </c>
      <c r="I6" s="23"/>
      <c r="J6" s="2"/>
      <c r="K6" s="2"/>
      <c r="L6" s="2"/>
      <c r="M6" s="2"/>
      <c r="N6" s="2"/>
      <c r="O6" s="2"/>
      <c r="P6" s="2"/>
      <c r="Q6" s="2"/>
      <c r="R6" s="2"/>
      <c r="S6" s="2"/>
      <c r="T6" s="2"/>
      <c r="U6" s="2"/>
      <c r="V6" s="2"/>
      <c r="W6" s="2"/>
      <c r="X6" s="2"/>
      <c r="Y6" s="2"/>
      <c r="Z6" s="2"/>
      <c r="AA6" s="2"/>
      <c r="AB6" s="2"/>
      <c r="AC6" s="2"/>
    </row>
    <row r="7" ht="22.5" customHeight="1">
      <c r="A7" s="13">
        <v>5.0</v>
      </c>
      <c r="B7" s="15" t="s">
        <v>191</v>
      </c>
      <c r="C7" s="15"/>
      <c r="D7" s="15" t="s">
        <v>192</v>
      </c>
      <c r="E7" s="15" t="s">
        <v>194</v>
      </c>
      <c r="F7" s="62"/>
      <c r="G7" s="15"/>
      <c r="H7" s="23" t="str">
        <f t="shared" si="1"/>
        <v>#REF!</v>
      </c>
      <c r="I7" s="23"/>
      <c r="J7" s="2"/>
      <c r="K7" s="2"/>
      <c r="L7" s="2"/>
      <c r="M7" s="2"/>
      <c r="N7" s="2"/>
      <c r="O7" s="2"/>
      <c r="P7" s="2"/>
      <c r="Q7" s="2"/>
      <c r="R7" s="2"/>
      <c r="S7" s="2"/>
      <c r="T7" s="2"/>
      <c r="U7" s="2"/>
      <c r="V7" s="2"/>
      <c r="W7" s="2"/>
      <c r="X7" s="2"/>
      <c r="Y7" s="2"/>
      <c r="Z7" s="2"/>
      <c r="AA7" s="2"/>
      <c r="AB7" s="2"/>
      <c r="AC7" s="2"/>
    </row>
    <row r="8" ht="22.5" customHeight="1">
      <c r="A8" s="13">
        <v>6.0</v>
      </c>
      <c r="B8" s="15" t="s">
        <v>196</v>
      </c>
      <c r="C8" s="15"/>
      <c r="D8" s="15" t="s">
        <v>197</v>
      </c>
      <c r="E8" s="15" t="s">
        <v>199</v>
      </c>
      <c r="F8" s="19"/>
      <c r="H8" s="23" t="str">
        <f t="shared" si="1"/>
        <v>#REF!</v>
      </c>
      <c r="I8" s="15"/>
      <c r="J8" s="2"/>
      <c r="K8" s="2"/>
      <c r="L8" s="2"/>
      <c r="M8" s="2"/>
      <c r="N8" s="2"/>
      <c r="O8" s="2"/>
      <c r="P8" s="2"/>
      <c r="Q8" s="2"/>
      <c r="R8" s="2"/>
      <c r="S8" s="2"/>
      <c r="T8" s="2"/>
      <c r="U8" s="2"/>
      <c r="V8" s="2"/>
      <c r="W8" s="2"/>
      <c r="X8" s="2"/>
      <c r="Y8" s="2"/>
      <c r="Z8" s="2"/>
      <c r="AA8" s="2"/>
      <c r="AB8" s="2"/>
      <c r="AC8" s="2"/>
    </row>
    <row r="9" ht="22.5" customHeight="1">
      <c r="A9" s="13">
        <v>7.0</v>
      </c>
      <c r="B9" s="15" t="s">
        <v>201</v>
      </c>
      <c r="C9" s="15" t="s">
        <v>202</v>
      </c>
      <c r="D9" s="15" t="s">
        <v>203</v>
      </c>
      <c r="E9" s="15" t="s">
        <v>204</v>
      </c>
      <c r="F9" s="19"/>
      <c r="G9" s="23"/>
      <c r="H9" s="23" t="str">
        <f t="shared" si="1"/>
        <v>#REF!</v>
      </c>
      <c r="I9" s="15"/>
      <c r="J9" s="2"/>
      <c r="K9" s="2"/>
      <c r="L9" s="2"/>
      <c r="M9" s="2"/>
      <c r="N9" s="2"/>
      <c r="O9" s="2"/>
      <c r="P9" s="2"/>
      <c r="Q9" s="2"/>
      <c r="R9" s="2"/>
      <c r="S9" s="2"/>
      <c r="T9" s="2"/>
      <c r="U9" s="2"/>
      <c r="V9" s="2"/>
      <c r="W9" s="2"/>
      <c r="X9" s="2"/>
      <c r="Y9" s="2"/>
      <c r="Z9" s="2"/>
      <c r="AA9" s="2"/>
      <c r="AB9" s="2"/>
      <c r="AC9" s="2"/>
    </row>
    <row r="10" ht="22.5" customHeight="1">
      <c r="A10" s="13">
        <v>8.0</v>
      </c>
      <c r="B10" s="15"/>
      <c r="C10" s="15"/>
      <c r="D10" s="15"/>
      <c r="E10" s="60"/>
      <c r="F10" s="19"/>
      <c r="G10" s="15"/>
      <c r="H10" s="23" t="str">
        <f t="shared" si="1"/>
        <v>#REF!</v>
      </c>
      <c r="I10" s="15"/>
      <c r="J10" s="2"/>
      <c r="K10" s="2"/>
      <c r="L10" s="2"/>
      <c r="M10" s="2"/>
      <c r="N10" s="2"/>
      <c r="O10" s="2"/>
      <c r="P10" s="2"/>
      <c r="Q10" s="2"/>
      <c r="R10" s="2"/>
      <c r="S10" s="2"/>
      <c r="T10" s="2"/>
      <c r="U10" s="2"/>
      <c r="V10" s="2"/>
      <c r="W10" s="2"/>
      <c r="X10" s="2"/>
      <c r="Y10" s="2"/>
      <c r="Z10" s="2"/>
      <c r="AA10" s="2"/>
      <c r="AB10" s="2"/>
      <c r="AC10" s="2"/>
    </row>
    <row r="11" ht="22.5" customHeight="1">
      <c r="A11" s="13">
        <v>9.0</v>
      </c>
      <c r="B11" s="15"/>
      <c r="C11" s="15"/>
      <c r="D11" s="15"/>
      <c r="E11" s="60"/>
      <c r="F11" s="19"/>
      <c r="G11" s="15"/>
      <c r="H11" s="23" t="str">
        <f t="shared" si="1"/>
        <v>#REF!</v>
      </c>
      <c r="I11" s="23"/>
      <c r="J11" s="2"/>
      <c r="K11" s="2"/>
      <c r="L11" s="2"/>
      <c r="M11" s="2"/>
      <c r="N11" s="2"/>
      <c r="O11" s="2"/>
      <c r="P11" s="2"/>
      <c r="Q11" s="2"/>
      <c r="R11" s="2"/>
      <c r="S11" s="2"/>
      <c r="T11" s="2"/>
      <c r="U11" s="2"/>
      <c r="V11" s="2"/>
      <c r="W11" s="2"/>
      <c r="X11" s="2"/>
      <c r="Y11" s="2"/>
      <c r="Z11" s="2"/>
      <c r="AA11" s="2"/>
      <c r="AB11" s="2"/>
      <c r="AC11" s="2"/>
    </row>
    <row r="12" ht="22.5" customHeight="1">
      <c r="A12" s="13">
        <v>10.0</v>
      </c>
      <c r="B12" s="15"/>
      <c r="C12" s="15"/>
      <c r="D12" s="15"/>
      <c r="E12" s="60"/>
      <c r="F12" s="19"/>
      <c r="G12" s="15"/>
      <c r="H12" s="23" t="str">
        <f t="shared" si="1"/>
        <v>#REF!</v>
      </c>
      <c r="I12" s="15"/>
      <c r="J12" s="2"/>
      <c r="K12" s="2"/>
      <c r="L12" s="2"/>
      <c r="M12" s="2"/>
      <c r="N12" s="2"/>
      <c r="O12" s="2"/>
      <c r="P12" s="2"/>
      <c r="Q12" s="2"/>
      <c r="R12" s="2"/>
      <c r="S12" s="2"/>
      <c r="T12" s="2"/>
      <c r="U12" s="2"/>
      <c r="V12" s="2"/>
      <c r="W12" s="2"/>
      <c r="X12" s="2"/>
      <c r="Y12" s="2"/>
      <c r="Z12" s="2"/>
      <c r="AA12" s="2"/>
      <c r="AB12" s="2"/>
      <c r="AC12" s="2"/>
    </row>
    <row r="13" ht="22.5" customHeight="1">
      <c r="A13" s="13">
        <v>11.0</v>
      </c>
      <c r="B13" s="15"/>
      <c r="C13" s="15"/>
      <c r="D13" s="15"/>
      <c r="E13" s="60"/>
      <c r="F13" s="19"/>
      <c r="G13" s="15"/>
      <c r="H13" s="23" t="str">
        <f t="shared" si="1"/>
        <v>#REF!</v>
      </c>
      <c r="I13" s="15"/>
      <c r="J13" s="2"/>
      <c r="K13" s="2"/>
      <c r="L13" s="2"/>
      <c r="M13" s="2"/>
      <c r="N13" s="2"/>
      <c r="O13" s="2"/>
      <c r="P13" s="2"/>
      <c r="Q13" s="2"/>
      <c r="R13" s="2"/>
      <c r="S13" s="2"/>
      <c r="T13" s="2"/>
      <c r="U13" s="2"/>
      <c r="V13" s="2"/>
      <c r="W13" s="2"/>
      <c r="X13" s="2"/>
      <c r="Y13" s="2"/>
      <c r="Z13" s="2"/>
      <c r="AA13" s="2"/>
      <c r="AB13" s="2"/>
      <c r="AC13" s="2"/>
    </row>
    <row r="14" ht="22.5" customHeight="1">
      <c r="A14" s="13">
        <v>12.0</v>
      </c>
      <c r="B14" s="15"/>
      <c r="C14" s="15"/>
      <c r="D14" s="15"/>
      <c r="E14" s="60"/>
      <c r="F14" s="19"/>
      <c r="G14" s="15"/>
      <c r="H14" s="23" t="str">
        <f t="shared" si="1"/>
        <v>#REF!</v>
      </c>
      <c r="I14" s="15"/>
      <c r="J14" s="2"/>
      <c r="K14" s="2"/>
      <c r="L14" s="2"/>
      <c r="M14" s="2"/>
      <c r="N14" s="2"/>
      <c r="O14" s="2"/>
      <c r="P14" s="2"/>
      <c r="Q14" s="2"/>
      <c r="R14" s="2"/>
      <c r="S14" s="2"/>
      <c r="T14" s="2"/>
      <c r="U14" s="2"/>
      <c r="V14" s="2"/>
      <c r="W14" s="2"/>
      <c r="X14" s="2"/>
      <c r="Y14" s="2"/>
      <c r="Z14" s="2"/>
      <c r="AA14" s="2"/>
      <c r="AB14" s="2"/>
      <c r="AC14" s="2"/>
    </row>
    <row r="15" ht="22.5" customHeight="1">
      <c r="A15" s="13">
        <v>13.0</v>
      </c>
      <c r="B15" s="15"/>
      <c r="C15" s="15"/>
      <c r="D15" s="15"/>
      <c r="E15" s="60"/>
      <c r="F15" s="19"/>
      <c r="G15" s="15"/>
      <c r="H15" s="23" t="str">
        <f t="shared" si="1"/>
        <v>#REF!</v>
      </c>
      <c r="I15" s="15"/>
      <c r="J15" s="2"/>
      <c r="K15" s="2"/>
      <c r="L15" s="2"/>
      <c r="M15" s="2"/>
      <c r="N15" s="2"/>
      <c r="O15" s="2"/>
      <c r="P15" s="2"/>
      <c r="Q15" s="2"/>
      <c r="R15" s="2"/>
      <c r="S15" s="2"/>
      <c r="T15" s="2"/>
      <c r="U15" s="2"/>
      <c r="V15" s="2"/>
      <c r="W15" s="2"/>
      <c r="X15" s="2"/>
      <c r="Y15" s="2"/>
      <c r="Z15" s="2"/>
      <c r="AA15" s="2"/>
      <c r="AB15" s="2"/>
      <c r="AC15" s="2"/>
    </row>
    <row r="16" ht="22.5" customHeight="1">
      <c r="A16" s="13">
        <v>14.0</v>
      </c>
      <c r="B16" s="15"/>
      <c r="C16" s="15"/>
      <c r="D16" s="15"/>
      <c r="E16" s="60"/>
      <c r="F16" s="19"/>
      <c r="G16" s="15"/>
      <c r="H16" s="23" t="str">
        <f t="shared" si="1"/>
        <v>#REF!</v>
      </c>
      <c r="I16" s="15"/>
      <c r="J16" s="2"/>
      <c r="K16" s="2"/>
      <c r="L16" s="2"/>
      <c r="M16" s="2"/>
      <c r="N16" s="2"/>
      <c r="O16" s="2"/>
      <c r="P16" s="2"/>
      <c r="Q16" s="2"/>
      <c r="R16" s="2"/>
      <c r="S16" s="2"/>
      <c r="T16" s="2"/>
      <c r="U16" s="2"/>
      <c r="V16" s="2"/>
      <c r="W16" s="2"/>
      <c r="X16" s="2"/>
      <c r="Y16" s="2"/>
      <c r="Z16" s="2"/>
      <c r="AA16" s="2"/>
      <c r="AB16" s="2"/>
      <c r="AC16" s="2"/>
    </row>
    <row r="17" ht="22.5" customHeight="1">
      <c r="A17" s="13">
        <v>15.0</v>
      </c>
      <c r="B17" s="23"/>
      <c r="C17" s="15"/>
      <c r="D17" s="15"/>
      <c r="E17" s="60"/>
      <c r="F17" s="19"/>
      <c r="G17" s="15"/>
      <c r="H17" s="23" t="str">
        <f t="shared" si="1"/>
        <v>#REF!</v>
      </c>
      <c r="I17" s="15"/>
      <c r="J17" s="2"/>
      <c r="K17" s="2"/>
      <c r="L17" s="2"/>
      <c r="M17" s="2"/>
      <c r="N17" s="2"/>
      <c r="O17" s="2"/>
      <c r="P17" s="2"/>
      <c r="Q17" s="2"/>
      <c r="R17" s="2"/>
      <c r="S17" s="2"/>
      <c r="T17" s="2"/>
      <c r="U17" s="2"/>
      <c r="V17" s="2"/>
      <c r="W17" s="2"/>
      <c r="X17" s="2"/>
      <c r="Y17" s="2"/>
      <c r="Z17" s="2"/>
      <c r="AA17" s="2"/>
      <c r="AB17" s="2"/>
      <c r="AC17" s="2"/>
    </row>
    <row r="18" ht="22.5" customHeight="1">
      <c r="A18" s="13">
        <v>16.0</v>
      </c>
      <c r="B18" s="23"/>
      <c r="C18" s="23"/>
      <c r="D18" s="23"/>
      <c r="E18" s="61"/>
      <c r="F18" s="31"/>
      <c r="G18" s="23"/>
      <c r="H18" s="23" t="str">
        <f t="shared" si="1"/>
        <v>#REF!</v>
      </c>
      <c r="I18" s="23"/>
      <c r="J18" s="2"/>
      <c r="K18" s="2"/>
      <c r="L18" s="2"/>
      <c r="M18" s="2"/>
      <c r="N18" s="2"/>
      <c r="O18" s="2"/>
      <c r="P18" s="2"/>
      <c r="Q18" s="2"/>
      <c r="R18" s="2"/>
      <c r="S18" s="2"/>
      <c r="T18" s="2"/>
      <c r="U18" s="2"/>
      <c r="V18" s="2"/>
      <c r="W18" s="2"/>
      <c r="X18" s="2"/>
      <c r="Y18" s="2"/>
      <c r="Z18" s="2"/>
      <c r="AA18" s="2"/>
      <c r="AB18" s="2"/>
      <c r="AC18" s="2"/>
    </row>
    <row r="19" ht="22.5" customHeight="1">
      <c r="A19" s="13">
        <v>17.0</v>
      </c>
      <c r="B19" s="23"/>
      <c r="C19" s="23"/>
      <c r="D19" s="23"/>
      <c r="E19" s="61"/>
      <c r="F19" s="31"/>
      <c r="G19" s="23"/>
      <c r="H19" s="23" t="str">
        <f t="shared" si="1"/>
        <v>#REF!</v>
      </c>
      <c r="I19" s="23"/>
      <c r="J19" s="2"/>
      <c r="K19" s="2"/>
      <c r="L19" s="2"/>
      <c r="M19" s="2"/>
      <c r="N19" s="2"/>
      <c r="O19" s="2"/>
      <c r="P19" s="2"/>
      <c r="Q19" s="2"/>
      <c r="R19" s="2"/>
      <c r="S19" s="2"/>
      <c r="T19" s="2"/>
      <c r="U19" s="2"/>
      <c r="V19" s="2"/>
      <c r="W19" s="2"/>
      <c r="X19" s="2"/>
      <c r="Y19" s="2"/>
      <c r="Z19" s="2"/>
      <c r="AA19" s="2"/>
      <c r="AB19" s="2"/>
      <c r="AC19" s="2"/>
    </row>
    <row r="20" ht="22.5" customHeight="1">
      <c r="A20" s="13">
        <v>18.0</v>
      </c>
      <c r="B20" s="23"/>
      <c r="C20" s="23"/>
      <c r="D20" s="23"/>
      <c r="E20" s="61"/>
      <c r="F20" s="31"/>
      <c r="G20" s="23"/>
      <c r="H20" s="23" t="str">
        <f t="shared" si="1"/>
        <v>#REF!</v>
      </c>
      <c r="I20" s="23"/>
      <c r="J20" s="2"/>
      <c r="K20" s="2"/>
      <c r="L20" s="2"/>
      <c r="M20" s="2"/>
      <c r="N20" s="2"/>
      <c r="O20" s="2"/>
      <c r="P20" s="2"/>
      <c r="Q20" s="2"/>
      <c r="R20" s="2"/>
      <c r="S20" s="2"/>
      <c r="T20" s="2"/>
      <c r="U20" s="2"/>
      <c r="V20" s="2"/>
      <c r="W20" s="2"/>
      <c r="X20" s="2"/>
      <c r="Y20" s="2"/>
      <c r="Z20" s="2"/>
      <c r="AA20" s="2"/>
      <c r="AB20" s="2"/>
      <c r="AC20" s="2"/>
    </row>
    <row r="21" ht="22.5" customHeight="1">
      <c r="A21" s="63" t="s">
        <v>126</v>
      </c>
      <c r="B21" s="15" t="s">
        <v>227</v>
      </c>
      <c r="C21" s="23"/>
      <c r="D21" s="23"/>
      <c r="E21" s="23"/>
      <c r="F21" s="64"/>
      <c r="G21" s="23"/>
      <c r="H21" s="23"/>
      <c r="I21" s="23"/>
      <c r="J21" s="2"/>
      <c r="K21" s="2"/>
      <c r="L21" s="2"/>
      <c r="M21" s="2"/>
      <c r="N21" s="2"/>
      <c r="O21" s="2"/>
      <c r="P21" s="2"/>
      <c r="Q21" s="2"/>
      <c r="R21" s="2"/>
      <c r="S21" s="2"/>
      <c r="T21" s="2"/>
      <c r="U21" s="2"/>
      <c r="V21" s="2"/>
      <c r="W21" s="2"/>
      <c r="X21" s="2"/>
      <c r="Y21" s="2"/>
      <c r="Z21" s="2"/>
      <c r="AA21" s="2"/>
      <c r="AB21" s="2"/>
      <c r="AC21" s="2"/>
    </row>
  </sheetData>
  <conditionalFormatting sqref="H1:H21">
    <cfRule type="colorScale" priority="1">
      <colorScale>
        <cfvo type="formula" val="-0.0001"/>
        <cfvo type="formula" val="0"/>
        <cfvo type="formula" val="0.0001"/>
        <color rgb="FF57BB8A"/>
        <color rgb="FFFFFFFF"/>
        <color rgb="FFE67C73"/>
      </colorScale>
    </cfRule>
  </conditionalFormatting>
  <dataValidations>
    <dataValidation type="list" allowBlank="1" sqref="F2:F20">
      <formula1>"Decision Tree,GBM,XGB,LGBM,CAT? Logistic?"</formula1>
    </dataValidation>
    <dataValidation type="custom" allowBlank="1" showDropDown="1" sqref="A2:A20">
      <formula1>AND(ISNUMBER(A2),(NOT(OR(NOT(ISERROR(DATEVALUE(A2))), AND(ISNUMBER(A2), LEFT(CELL("format", A2))="D")))))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37.38"/>
    <col customWidth="1" min="3" max="4" width="22.63"/>
    <col customWidth="1" min="5" max="6" width="8.88"/>
    <col customWidth="1" min="7" max="7" width="40.88"/>
  </cols>
  <sheetData>
    <row r="1" ht="22.5" customHeight="1">
      <c r="A1" s="6" t="s">
        <v>54</v>
      </c>
      <c r="B1" s="6" t="s">
        <v>2</v>
      </c>
      <c r="C1" s="6" t="s">
        <v>64</v>
      </c>
      <c r="D1" s="6" t="s">
        <v>66</v>
      </c>
      <c r="E1" s="6" t="s">
        <v>240</v>
      </c>
      <c r="F1" s="6" t="s">
        <v>77</v>
      </c>
      <c r="G1" s="6" t="s">
        <v>241</v>
      </c>
      <c r="H1" s="2"/>
      <c r="I1" s="2"/>
      <c r="J1" s="2"/>
      <c r="K1" s="2"/>
      <c r="L1" s="2"/>
      <c r="M1" s="2"/>
      <c r="N1" s="2"/>
      <c r="O1" s="2"/>
      <c r="P1" s="2"/>
      <c r="Q1" s="2"/>
      <c r="R1" s="2"/>
      <c r="S1" s="2"/>
      <c r="T1" s="2"/>
      <c r="U1" s="2"/>
      <c r="V1" s="2"/>
      <c r="W1" s="2"/>
      <c r="X1" s="2"/>
      <c r="Y1" s="2"/>
      <c r="Z1" s="2"/>
    </row>
    <row r="2" ht="22.5" customHeight="1">
      <c r="A2" s="13" t="s">
        <v>80</v>
      </c>
      <c r="B2" s="15" t="s">
        <v>81</v>
      </c>
      <c r="C2" s="15" t="s">
        <v>84</v>
      </c>
      <c r="D2" s="65" t="s">
        <v>85</v>
      </c>
      <c r="E2" s="15"/>
      <c r="F2" s="15" t="s">
        <v>90</v>
      </c>
      <c r="G2" s="23"/>
      <c r="H2" s="2"/>
      <c r="I2" s="2"/>
      <c r="J2" s="2"/>
      <c r="K2" s="2"/>
      <c r="L2" s="2"/>
      <c r="M2" s="2"/>
      <c r="N2" s="2"/>
      <c r="O2" s="2"/>
      <c r="P2" s="2"/>
      <c r="Q2" s="2"/>
      <c r="R2" s="2"/>
      <c r="S2" s="2"/>
      <c r="T2" s="2"/>
      <c r="U2" s="2"/>
      <c r="V2" s="2"/>
      <c r="W2" s="2"/>
      <c r="X2" s="2"/>
      <c r="Y2" s="2"/>
      <c r="Z2" s="2"/>
    </row>
    <row r="3" ht="22.5" customHeight="1">
      <c r="A3" s="13"/>
      <c r="B3" s="15" t="s">
        <v>245</v>
      </c>
      <c r="C3" s="15"/>
      <c r="D3" s="65"/>
      <c r="E3" s="15"/>
      <c r="F3" s="15"/>
      <c r="G3" s="23"/>
      <c r="H3" s="2"/>
      <c r="I3" s="2"/>
      <c r="J3" s="2"/>
      <c r="K3" s="2"/>
      <c r="L3" s="2"/>
      <c r="M3" s="2"/>
      <c r="N3" s="2"/>
      <c r="O3" s="2"/>
      <c r="P3" s="2"/>
      <c r="Q3" s="2"/>
      <c r="R3" s="2"/>
      <c r="S3" s="2"/>
      <c r="T3" s="2"/>
      <c r="U3" s="2"/>
      <c r="V3" s="2"/>
      <c r="W3" s="2"/>
      <c r="X3" s="2"/>
      <c r="Y3" s="2"/>
      <c r="Z3" s="2"/>
    </row>
    <row r="4" ht="22.5" customHeight="1">
      <c r="A4" s="13">
        <v>1.0</v>
      </c>
      <c r="B4" s="15" t="s">
        <v>247</v>
      </c>
      <c r="C4" s="15"/>
      <c r="D4" s="65"/>
      <c r="E4" s="15"/>
      <c r="F4" s="23">
        <f>E4-E2</f>
        <v>0</v>
      </c>
      <c r="G4" s="23"/>
      <c r="H4" s="2"/>
      <c r="I4" s="2"/>
      <c r="J4" s="2"/>
      <c r="K4" s="2"/>
      <c r="L4" s="2"/>
      <c r="M4" s="2"/>
      <c r="N4" s="2"/>
      <c r="O4" s="2"/>
      <c r="P4" s="2"/>
      <c r="Q4" s="2"/>
      <c r="R4" s="2"/>
      <c r="S4" s="2"/>
      <c r="T4" s="2"/>
      <c r="U4" s="2"/>
      <c r="V4" s="2"/>
      <c r="W4" s="2"/>
      <c r="X4" s="2"/>
      <c r="Y4" s="2"/>
      <c r="Z4" s="2"/>
    </row>
    <row r="5" ht="22.5" customHeight="1">
      <c r="A5" s="13">
        <v>2.0</v>
      </c>
      <c r="B5" s="15" t="s">
        <v>250</v>
      </c>
      <c r="C5" s="23"/>
      <c r="D5" s="65"/>
      <c r="E5" s="15"/>
      <c r="F5" s="23">
        <f t="shared" ref="F5:F19" si="1">E5-E4</f>
        <v>0</v>
      </c>
      <c r="G5" s="15"/>
      <c r="H5" s="2"/>
      <c r="I5" s="2"/>
      <c r="J5" s="2"/>
      <c r="K5" s="2"/>
      <c r="L5" s="2"/>
      <c r="M5" s="2"/>
      <c r="N5" s="2"/>
      <c r="O5" s="2"/>
      <c r="P5" s="2"/>
      <c r="Q5" s="2"/>
      <c r="R5" s="2"/>
      <c r="S5" s="2"/>
      <c r="T5" s="2"/>
      <c r="U5" s="2"/>
      <c r="V5" s="2"/>
      <c r="W5" s="2"/>
      <c r="X5" s="2"/>
      <c r="Y5" s="2"/>
      <c r="Z5" s="2"/>
    </row>
    <row r="6" ht="22.5" customHeight="1">
      <c r="A6" s="13">
        <v>3.0</v>
      </c>
      <c r="B6" s="15" t="s">
        <v>253</v>
      </c>
      <c r="C6" s="66"/>
      <c r="D6" s="65"/>
      <c r="E6" s="15"/>
      <c r="F6" s="23">
        <f t="shared" si="1"/>
        <v>0</v>
      </c>
      <c r="G6" s="67"/>
      <c r="H6" s="2"/>
      <c r="I6" s="2"/>
      <c r="J6" s="2"/>
      <c r="K6" s="2"/>
      <c r="L6" s="2"/>
      <c r="M6" s="2"/>
      <c r="N6" s="2"/>
      <c r="O6" s="2"/>
      <c r="P6" s="2"/>
      <c r="Q6" s="2"/>
      <c r="R6" s="2"/>
      <c r="S6" s="2"/>
      <c r="T6" s="2"/>
      <c r="U6" s="2"/>
      <c r="V6" s="2"/>
      <c r="W6" s="2"/>
      <c r="X6" s="2"/>
      <c r="Y6" s="2"/>
      <c r="Z6" s="2"/>
    </row>
    <row r="7" ht="62.25" customHeight="1">
      <c r="A7" s="13">
        <v>4.0</v>
      </c>
      <c r="B7" s="15" t="s">
        <v>256</v>
      </c>
      <c r="C7" s="15"/>
      <c r="D7" s="65"/>
      <c r="E7" s="23"/>
      <c r="F7" s="23">
        <f t="shared" si="1"/>
        <v>0</v>
      </c>
      <c r="G7" s="68"/>
      <c r="H7" s="2"/>
      <c r="I7" s="2"/>
      <c r="J7" s="2"/>
      <c r="K7" s="2"/>
      <c r="L7" s="2"/>
      <c r="M7" s="2"/>
      <c r="N7" s="2"/>
      <c r="O7" s="2"/>
      <c r="P7" s="2"/>
      <c r="Q7" s="2"/>
      <c r="R7" s="2"/>
      <c r="S7" s="2"/>
      <c r="T7" s="2"/>
      <c r="U7" s="2"/>
      <c r="V7" s="2"/>
      <c r="W7" s="2"/>
      <c r="X7" s="2"/>
      <c r="Y7" s="2"/>
      <c r="Z7" s="2"/>
    </row>
    <row r="8" ht="22.5" customHeight="1">
      <c r="A8" s="13">
        <v>5.0</v>
      </c>
      <c r="B8" s="15" t="s">
        <v>258</v>
      </c>
      <c r="C8" s="23"/>
      <c r="D8" s="69"/>
      <c r="E8" s="23"/>
      <c r="F8" s="23">
        <f t="shared" si="1"/>
        <v>0</v>
      </c>
      <c r="G8" s="15"/>
      <c r="H8" s="2"/>
      <c r="I8" s="2"/>
      <c r="J8" s="2"/>
      <c r="K8" s="2"/>
      <c r="L8" s="2"/>
      <c r="M8" s="2"/>
      <c r="N8" s="2"/>
      <c r="O8" s="2"/>
      <c r="P8" s="2"/>
      <c r="Q8" s="2"/>
      <c r="R8" s="2"/>
      <c r="S8" s="2"/>
      <c r="T8" s="2"/>
      <c r="U8" s="2"/>
      <c r="V8" s="2"/>
      <c r="W8" s="2"/>
      <c r="X8" s="2"/>
      <c r="Y8" s="2"/>
      <c r="Z8" s="2"/>
    </row>
    <row r="9" ht="22.5" customHeight="1">
      <c r="A9" s="13">
        <v>6.0</v>
      </c>
      <c r="B9" s="15" t="s">
        <v>261</v>
      </c>
      <c r="C9" s="15"/>
      <c r="D9" s="69"/>
      <c r="E9" s="23"/>
      <c r="F9" s="23">
        <f t="shared" si="1"/>
        <v>0</v>
      </c>
      <c r="G9" s="15"/>
      <c r="H9" s="2"/>
      <c r="I9" s="2"/>
      <c r="J9" s="2"/>
      <c r="K9" s="2"/>
      <c r="L9" s="2"/>
      <c r="M9" s="2"/>
      <c r="N9" s="2"/>
      <c r="O9" s="2"/>
      <c r="P9" s="2"/>
      <c r="Q9" s="2"/>
      <c r="R9" s="2"/>
      <c r="S9" s="2"/>
      <c r="T9" s="2"/>
      <c r="U9" s="2"/>
      <c r="V9" s="2"/>
      <c r="W9" s="2"/>
      <c r="X9" s="2"/>
      <c r="Y9" s="2"/>
      <c r="Z9" s="2"/>
    </row>
    <row r="10" ht="22.5" customHeight="1">
      <c r="A10" s="13">
        <v>7.0</v>
      </c>
      <c r="B10" s="15" t="s">
        <v>263</v>
      </c>
      <c r="C10" s="23"/>
      <c r="D10" s="69"/>
      <c r="E10" s="23"/>
      <c r="F10" s="23">
        <f t="shared" si="1"/>
        <v>0</v>
      </c>
      <c r="G10" s="70"/>
      <c r="H10" s="2"/>
      <c r="I10" s="2"/>
      <c r="J10" s="2"/>
      <c r="K10" s="2"/>
      <c r="L10" s="2"/>
      <c r="M10" s="2"/>
      <c r="N10" s="2"/>
      <c r="O10" s="2"/>
      <c r="P10" s="2"/>
      <c r="Q10" s="2"/>
      <c r="R10" s="2"/>
      <c r="S10" s="2"/>
      <c r="T10" s="2"/>
      <c r="U10" s="2"/>
      <c r="V10" s="2"/>
      <c r="W10" s="2"/>
      <c r="X10" s="2"/>
      <c r="Y10" s="2"/>
      <c r="Z10" s="2"/>
    </row>
    <row r="11" ht="22.5" customHeight="1">
      <c r="A11" s="13">
        <v>8.0</v>
      </c>
      <c r="B11" s="15" t="s">
        <v>266</v>
      </c>
      <c r="C11" s="23"/>
      <c r="D11" s="69"/>
      <c r="E11" s="23"/>
      <c r="F11" s="23">
        <f t="shared" si="1"/>
        <v>0</v>
      </c>
      <c r="G11" s="15" t="s">
        <v>267</v>
      </c>
      <c r="H11" s="2"/>
      <c r="I11" s="71"/>
      <c r="J11" s="2"/>
      <c r="K11" s="2"/>
      <c r="L11" s="2"/>
      <c r="M11" s="2"/>
      <c r="N11" s="2"/>
      <c r="O11" s="2"/>
      <c r="P11" s="2"/>
      <c r="Q11" s="2"/>
      <c r="R11" s="2"/>
      <c r="S11" s="2"/>
      <c r="T11" s="2"/>
      <c r="U11" s="2"/>
      <c r="V11" s="2"/>
      <c r="W11" s="2"/>
      <c r="X11" s="2"/>
      <c r="Y11" s="2"/>
      <c r="Z11" s="2"/>
    </row>
    <row r="12" ht="22.5" customHeight="1">
      <c r="A12" s="13">
        <v>9.0</v>
      </c>
      <c r="B12" s="15" t="s">
        <v>269</v>
      </c>
      <c r="C12" s="23"/>
      <c r="D12" s="69"/>
      <c r="E12" s="23"/>
      <c r="F12" s="23">
        <f t="shared" si="1"/>
        <v>0</v>
      </c>
      <c r="G12" s="15" t="s">
        <v>271</v>
      </c>
      <c r="H12" s="2"/>
      <c r="I12" s="8"/>
      <c r="J12" s="8"/>
      <c r="K12" s="8"/>
      <c r="L12" s="8"/>
      <c r="M12" s="2"/>
      <c r="N12" s="2"/>
      <c r="O12" s="2"/>
      <c r="P12" s="2"/>
      <c r="Q12" s="2"/>
      <c r="R12" s="2"/>
      <c r="S12" s="2"/>
      <c r="T12" s="2"/>
      <c r="U12" s="2"/>
      <c r="V12" s="2"/>
      <c r="W12" s="2"/>
      <c r="X12" s="2"/>
      <c r="Y12" s="2"/>
      <c r="Z12" s="2"/>
    </row>
    <row r="13" ht="22.5" customHeight="1">
      <c r="A13" s="13">
        <v>10.0</v>
      </c>
      <c r="B13" s="15" t="s">
        <v>273</v>
      </c>
      <c r="C13" s="23"/>
      <c r="D13" s="69"/>
      <c r="E13" s="23"/>
      <c r="F13" s="23">
        <f t="shared" si="1"/>
        <v>0</v>
      </c>
      <c r="G13" s="15" t="s">
        <v>274</v>
      </c>
      <c r="H13" s="2"/>
      <c r="I13" s="2"/>
      <c r="J13" s="2"/>
      <c r="K13" s="2"/>
      <c r="L13" s="2"/>
      <c r="M13" s="2"/>
      <c r="N13" s="2"/>
      <c r="O13" s="2"/>
      <c r="P13" s="2"/>
      <c r="Q13" s="2"/>
      <c r="R13" s="2"/>
      <c r="S13" s="2"/>
      <c r="T13" s="2"/>
      <c r="U13" s="2"/>
      <c r="V13" s="2"/>
      <c r="W13" s="2"/>
      <c r="X13" s="2"/>
      <c r="Y13" s="2"/>
      <c r="Z13" s="2"/>
    </row>
    <row r="14" ht="22.5" customHeight="1">
      <c r="A14" s="13">
        <v>11.0</v>
      </c>
      <c r="B14" s="15" t="s">
        <v>276</v>
      </c>
      <c r="C14" s="23"/>
      <c r="D14" s="69"/>
      <c r="E14" s="23"/>
      <c r="F14" s="23">
        <f t="shared" si="1"/>
        <v>0</v>
      </c>
      <c r="G14" s="15" t="s">
        <v>278</v>
      </c>
      <c r="H14" s="2"/>
      <c r="I14" s="2"/>
      <c r="J14" s="2"/>
      <c r="K14" s="2"/>
      <c r="L14" s="2"/>
      <c r="M14" s="2"/>
      <c r="N14" s="2"/>
      <c r="O14" s="2"/>
      <c r="P14" s="2"/>
      <c r="Q14" s="2"/>
      <c r="R14" s="2"/>
      <c r="S14" s="2"/>
      <c r="T14" s="2"/>
      <c r="U14" s="2"/>
      <c r="V14" s="2"/>
      <c r="W14" s="2"/>
      <c r="X14" s="2"/>
      <c r="Y14" s="2"/>
      <c r="Z14" s="2"/>
    </row>
    <row r="15" ht="22.5" customHeight="1">
      <c r="A15" s="13">
        <v>12.0</v>
      </c>
      <c r="B15" s="15" t="s">
        <v>279</v>
      </c>
      <c r="C15" s="23"/>
      <c r="D15" s="69"/>
      <c r="E15" s="23"/>
      <c r="F15" s="23">
        <f t="shared" si="1"/>
        <v>0</v>
      </c>
      <c r="G15" s="15" t="s">
        <v>281</v>
      </c>
      <c r="H15" s="2"/>
      <c r="I15" s="2"/>
      <c r="J15" s="2"/>
      <c r="K15" s="2"/>
      <c r="L15" s="2"/>
      <c r="M15" s="2"/>
      <c r="N15" s="2"/>
      <c r="O15" s="2"/>
      <c r="P15" s="2"/>
      <c r="Q15" s="2"/>
      <c r="R15" s="2"/>
      <c r="S15" s="2"/>
      <c r="T15" s="2"/>
      <c r="U15" s="2"/>
      <c r="V15" s="2"/>
      <c r="W15" s="2"/>
      <c r="X15" s="2"/>
      <c r="Y15" s="2"/>
      <c r="Z15" s="2"/>
    </row>
    <row r="16" ht="22.5" customHeight="1">
      <c r="A16" s="13">
        <v>13.0</v>
      </c>
      <c r="B16" s="15" t="s">
        <v>283</v>
      </c>
      <c r="C16" s="23"/>
      <c r="D16" s="69"/>
      <c r="E16" s="23"/>
      <c r="F16" s="23">
        <f t="shared" si="1"/>
        <v>0</v>
      </c>
      <c r="G16" s="15" t="s">
        <v>284</v>
      </c>
      <c r="H16" s="2"/>
      <c r="I16" s="2"/>
      <c r="J16" s="2"/>
      <c r="K16" s="2"/>
      <c r="L16" s="2"/>
      <c r="M16" s="2"/>
      <c r="N16" s="2"/>
      <c r="O16" s="2"/>
      <c r="P16" s="2"/>
      <c r="Q16" s="2"/>
      <c r="R16" s="2"/>
      <c r="S16" s="2"/>
      <c r="T16" s="2"/>
      <c r="U16" s="2"/>
      <c r="V16" s="2"/>
      <c r="W16" s="2"/>
      <c r="X16" s="2"/>
      <c r="Y16" s="2"/>
      <c r="Z16" s="2"/>
    </row>
    <row r="17" ht="22.5" customHeight="1">
      <c r="A17" s="13">
        <v>14.0</v>
      </c>
      <c r="B17" s="23"/>
      <c r="C17" s="23"/>
      <c r="D17" s="69"/>
      <c r="E17" s="23"/>
      <c r="F17" s="23">
        <f t="shared" si="1"/>
        <v>0</v>
      </c>
      <c r="G17" s="15" t="s">
        <v>286</v>
      </c>
      <c r="H17" s="2"/>
      <c r="I17" s="2"/>
      <c r="J17" s="2"/>
      <c r="K17" s="2"/>
      <c r="L17" s="2"/>
      <c r="M17" s="2"/>
      <c r="N17" s="2"/>
      <c r="O17" s="2"/>
      <c r="P17" s="2"/>
      <c r="Q17" s="2"/>
      <c r="R17" s="2"/>
      <c r="S17" s="2"/>
      <c r="T17" s="2"/>
      <c r="U17" s="2"/>
      <c r="V17" s="2"/>
      <c r="W17" s="2"/>
      <c r="X17" s="2"/>
      <c r="Y17" s="2"/>
      <c r="Z17" s="2"/>
    </row>
    <row r="18" ht="22.5" customHeight="1">
      <c r="A18" s="13">
        <v>15.0</v>
      </c>
      <c r="B18" s="23"/>
      <c r="C18" s="23"/>
      <c r="D18" s="69"/>
      <c r="E18" s="23"/>
      <c r="F18" s="23">
        <f t="shared" si="1"/>
        <v>0</v>
      </c>
      <c r="G18" s="72" t="s">
        <v>289</v>
      </c>
      <c r="H18" s="2"/>
      <c r="I18" s="2"/>
      <c r="J18" s="2"/>
      <c r="K18" s="2"/>
      <c r="L18" s="2"/>
      <c r="M18" s="2"/>
      <c r="N18" s="2"/>
      <c r="O18" s="2"/>
      <c r="P18" s="2"/>
      <c r="Q18" s="2"/>
      <c r="R18" s="2"/>
      <c r="S18" s="2"/>
      <c r="T18" s="2"/>
      <c r="U18" s="2"/>
      <c r="V18" s="2"/>
      <c r="W18" s="2"/>
      <c r="X18" s="2"/>
      <c r="Y18" s="2"/>
      <c r="Z18" s="2"/>
    </row>
    <row r="19" ht="22.5" customHeight="1">
      <c r="A19" s="13">
        <v>16.0</v>
      </c>
      <c r="B19" s="23"/>
      <c r="C19" s="23"/>
      <c r="D19" s="69"/>
      <c r="E19" s="23"/>
      <c r="F19" s="23">
        <f t="shared" si="1"/>
        <v>0</v>
      </c>
      <c r="G19" s="15"/>
      <c r="H19" s="2"/>
      <c r="I19" s="2"/>
      <c r="J19" s="2"/>
      <c r="K19" s="2"/>
      <c r="L19" s="2"/>
      <c r="M19" s="2"/>
      <c r="N19" s="2"/>
      <c r="O19" s="2"/>
      <c r="P19" s="2"/>
      <c r="Q19" s="2"/>
      <c r="R19" s="2"/>
      <c r="S19" s="2"/>
      <c r="T19" s="2"/>
      <c r="U19" s="2"/>
      <c r="V19" s="2"/>
      <c r="W19" s="2"/>
      <c r="X19" s="2"/>
      <c r="Y19" s="2"/>
      <c r="Z19" s="2"/>
    </row>
    <row r="20" ht="81.75" customHeight="1">
      <c r="A20" s="73" t="s">
        <v>292</v>
      </c>
      <c r="B20" s="74" t="s">
        <v>294</v>
      </c>
      <c r="C20" s="12"/>
      <c r="D20" s="12"/>
      <c r="E20" s="12"/>
      <c r="F20" s="14"/>
      <c r="G20" s="8"/>
      <c r="H20" s="2"/>
      <c r="I20" s="2"/>
      <c r="J20" s="2"/>
      <c r="K20" s="2"/>
      <c r="L20" s="2"/>
      <c r="M20" s="2"/>
      <c r="N20" s="2"/>
      <c r="O20" s="2"/>
      <c r="P20" s="2"/>
      <c r="Q20" s="2"/>
      <c r="R20" s="2"/>
      <c r="S20" s="2"/>
      <c r="T20" s="2"/>
      <c r="U20" s="2"/>
      <c r="V20" s="2"/>
      <c r="W20" s="2"/>
      <c r="X20" s="2"/>
      <c r="Y20" s="2"/>
      <c r="Z20" s="2"/>
    </row>
    <row r="21" ht="81.75" customHeight="1">
      <c r="A21" s="75"/>
      <c r="B21" s="22"/>
      <c r="C21" s="24"/>
      <c r="D21" s="24"/>
      <c r="E21" s="24"/>
      <c r="F21" s="25"/>
      <c r="G21" s="8"/>
      <c r="H21" s="2"/>
      <c r="I21" s="2"/>
      <c r="J21" s="2"/>
      <c r="K21" s="2"/>
      <c r="L21" s="2"/>
      <c r="M21" s="2"/>
      <c r="N21" s="2"/>
      <c r="O21" s="2"/>
      <c r="P21" s="2"/>
      <c r="Q21" s="2"/>
      <c r="R21" s="2"/>
      <c r="S21" s="2"/>
      <c r="T21" s="2"/>
      <c r="U21" s="2"/>
      <c r="V21" s="2"/>
      <c r="W21" s="2"/>
      <c r="X21" s="2"/>
      <c r="Y21" s="2"/>
      <c r="Z21" s="2"/>
    </row>
    <row r="22">
      <c r="A22" s="57"/>
      <c r="B22" s="76"/>
      <c r="C22" s="76"/>
      <c r="D22" s="77"/>
      <c r="E22" s="76"/>
      <c r="F22" s="76"/>
      <c r="G22" s="8"/>
      <c r="H22" s="2"/>
      <c r="I22" s="2"/>
      <c r="J22" s="2"/>
      <c r="K22" s="2"/>
      <c r="L22" s="2"/>
      <c r="M22" s="2"/>
      <c r="N22" s="2"/>
      <c r="O22" s="2"/>
      <c r="P22" s="2"/>
      <c r="Q22" s="2"/>
      <c r="R22" s="2"/>
      <c r="S22" s="2"/>
      <c r="T22" s="2"/>
      <c r="U22" s="2"/>
      <c r="V22" s="2"/>
      <c r="W22" s="2"/>
      <c r="X22" s="2"/>
      <c r="Y22" s="2"/>
      <c r="Z22" s="2"/>
    </row>
    <row r="23">
      <c r="A23" s="57"/>
      <c r="B23" s="76"/>
      <c r="C23" s="76"/>
      <c r="D23" s="77"/>
      <c r="E23" s="76"/>
      <c r="F23" s="76"/>
      <c r="G23" s="8"/>
      <c r="H23" s="2"/>
      <c r="I23" s="2"/>
      <c r="J23" s="2"/>
      <c r="K23" s="2"/>
      <c r="L23" s="2"/>
      <c r="M23" s="2"/>
      <c r="N23" s="2"/>
      <c r="O23" s="2"/>
      <c r="P23" s="2"/>
      <c r="Q23" s="2"/>
      <c r="R23" s="2"/>
      <c r="S23" s="2"/>
      <c r="T23" s="2"/>
      <c r="U23" s="2"/>
      <c r="V23" s="2"/>
      <c r="W23" s="2"/>
      <c r="X23" s="2"/>
      <c r="Y23" s="2"/>
      <c r="Z23" s="2"/>
    </row>
    <row r="24">
      <c r="A24" s="57"/>
      <c r="B24" s="76"/>
      <c r="C24" s="76"/>
      <c r="D24" s="77"/>
      <c r="E24" s="76"/>
      <c r="F24" s="76"/>
      <c r="G24" s="8"/>
      <c r="H24" s="2"/>
      <c r="I24" s="2"/>
      <c r="J24" s="2"/>
      <c r="K24" s="2"/>
      <c r="L24" s="2"/>
      <c r="M24" s="2"/>
      <c r="N24" s="2"/>
      <c r="O24" s="2"/>
      <c r="P24" s="2"/>
      <c r="Q24" s="2"/>
      <c r="R24" s="2"/>
      <c r="S24" s="2"/>
      <c r="T24" s="2"/>
      <c r="U24" s="2"/>
      <c r="V24" s="2"/>
      <c r="W24" s="2"/>
      <c r="X24" s="2"/>
      <c r="Y24" s="2"/>
      <c r="Z24" s="2"/>
    </row>
  </sheetData>
  <mergeCells count="2">
    <mergeCell ref="A20:A21"/>
    <mergeCell ref="B20:F21"/>
  </mergeCells>
  <conditionalFormatting sqref="F1:F19 F22:F24">
    <cfRule type="colorScale" priority="1">
      <colorScale>
        <cfvo type="formula" val="-0.0001"/>
        <cfvo type="formula" val="0"/>
        <cfvo type="formula" val="0.0001"/>
        <color rgb="FF57BB8A"/>
        <color rgb="FFFFFFFF"/>
        <color rgb="FFE67C73"/>
      </colorScale>
    </cfRule>
  </conditionalFormatting>
  <dataValidations>
    <dataValidation type="list" allowBlank="1" sqref="D2:D19">
      <formula1>"Decision Tree,GBM,XGB,LGBM,CAT? Logistic?,CatBoost"</formula1>
    </dataValidation>
    <dataValidation type="custom" allowBlank="1" showDropDown="1" sqref="A2:A19">
      <formula1>AND(ISNUMBER(A2),(NOT(OR(NOT(ISERROR(DATEVALUE(A2))), AND(ISNUMBER(A2), LEFT(CELL("format", A2))="D")))))</formula1>
    </dataValidation>
  </dataValidations>
  <drawing r:id="rId1"/>
  <tableParts count="1">
    <tablePart r:id="rId3"/>
  </tableParts>
</worksheet>
</file>